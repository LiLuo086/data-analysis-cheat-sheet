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5e09e4e8456bbfa/Excel_Tips/"/>
    </mc:Choice>
  </mc:AlternateContent>
  <xr:revisionPtr revIDLastSave="581" documentId="13_ncr:1_{5168A2E0-B50E-4B36-8C15-28312EE57731}" xr6:coauthVersionLast="47" xr6:coauthVersionMax="47" xr10:uidLastSave="{0BAAC3B6-150A-42E1-90EB-820E374CB4D3}"/>
  <bookViews>
    <workbookView xWindow="-108" yWindow="-108" windowWidth="23256" windowHeight="12456" firstSheet="1" activeTab="4" xr2:uid="{00000000-000D-0000-FFFF-FFFF00000000}"/>
  </bookViews>
  <sheets>
    <sheet name="Date Functions" sheetId="2" r:id="rId1"/>
    <sheet name="Math" sheetId="3" r:id="rId2"/>
    <sheet name="LOOKUP Functions" sheetId="11" r:id="rId3"/>
    <sheet name="Text&amp;Logical Functions" sheetId="1" r:id="rId4"/>
    <sheet name="Basic Operations" sheetId="7" r:id="rId5"/>
    <sheet name="Pivot Table" sheetId="12" r:id="rId6"/>
    <sheet name="Visualization" sheetId="4" r:id="rId7"/>
    <sheet name="Q&amp;A" sheetId="10" r:id="rId8"/>
  </sheets>
  <definedNames>
    <definedName name="_xlchart.v5.0" hidden="1">Visualization!$AJ$4:$AJ$14</definedName>
    <definedName name="_xlchart.v5.1" hidden="1">Visualization!$AL$3</definedName>
    <definedName name="_xlchart.v5.2" hidden="1">Visualization!$AL$4:$AL$14</definedName>
    <definedName name="_xlchart.v5.3" hidden="1">Visualization!$AJ$4:$AJ$14</definedName>
    <definedName name="_xlchart.v5.4" hidden="1">Visualization!$AL$3</definedName>
    <definedName name="_xlchart.v5.5" hidden="1">Visualization!$AL$4:$AL$14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14" i="4" l="1"/>
  <c r="AL13" i="4"/>
  <c r="AL12" i="4"/>
  <c r="AL11" i="4"/>
  <c r="AL10" i="4"/>
  <c r="AL9" i="4"/>
  <c r="AL8" i="4"/>
  <c r="AL7" i="4"/>
  <c r="AL6" i="4"/>
  <c r="AL5" i="4"/>
  <c r="AL4" i="4"/>
  <c r="O8" i="4"/>
  <c r="Q7" i="4" s="1"/>
  <c r="N8" i="4"/>
  <c r="P7" i="4" s="1"/>
  <c r="J15" i="11"/>
  <c r="J10" i="11"/>
  <c r="J5" i="11"/>
  <c r="D18" i="3"/>
  <c r="J10" i="3"/>
  <c r="I10" i="3"/>
  <c r="H10" i="3"/>
  <c r="G10" i="3"/>
  <c r="J9" i="3"/>
  <c r="I9" i="3"/>
  <c r="H9" i="3"/>
  <c r="G9" i="3"/>
  <c r="K5" i="3"/>
  <c r="J5" i="3"/>
  <c r="J6" i="3" s="1"/>
  <c r="I5" i="3"/>
  <c r="I6" i="3" s="1"/>
  <c r="H5" i="3"/>
  <c r="H6" i="3" s="1"/>
  <c r="G5" i="3"/>
  <c r="G6" i="3" s="1"/>
  <c r="F26" i="1"/>
  <c r="J40" i="1"/>
  <c r="I40" i="1"/>
  <c r="H40" i="1"/>
  <c r="G40" i="1"/>
  <c r="F40" i="1"/>
  <c r="J39" i="1"/>
  <c r="I39" i="1"/>
  <c r="H39" i="1"/>
  <c r="G39" i="1"/>
  <c r="F39" i="1"/>
  <c r="J38" i="1"/>
  <c r="I38" i="1"/>
  <c r="H38" i="1"/>
  <c r="G38" i="1"/>
  <c r="F38" i="1"/>
  <c r="J37" i="1"/>
  <c r="I37" i="1"/>
  <c r="H37" i="1"/>
  <c r="G37" i="1"/>
  <c r="F37" i="1"/>
  <c r="J36" i="1"/>
  <c r="I36" i="1"/>
  <c r="H36" i="1"/>
  <c r="G36" i="1"/>
  <c r="F36" i="1"/>
  <c r="J35" i="1"/>
  <c r="I35" i="1"/>
  <c r="H35" i="1"/>
  <c r="G35" i="1"/>
  <c r="F35" i="1"/>
  <c r="J34" i="1"/>
  <c r="I34" i="1"/>
  <c r="H34" i="1"/>
  <c r="G34" i="1"/>
  <c r="F34" i="1"/>
  <c r="J33" i="1"/>
  <c r="I33" i="1"/>
  <c r="H33" i="1"/>
  <c r="G33" i="1"/>
  <c r="F33" i="1"/>
  <c r="J32" i="1"/>
  <c r="I32" i="1"/>
  <c r="H32" i="1"/>
  <c r="G32" i="1"/>
  <c r="F32" i="1"/>
  <c r="J31" i="1"/>
  <c r="I31" i="1"/>
  <c r="H31" i="1"/>
  <c r="G31" i="1"/>
  <c r="F31" i="1"/>
  <c r="J30" i="1"/>
  <c r="I30" i="1"/>
  <c r="H30" i="1"/>
  <c r="G30" i="1"/>
  <c r="F30" i="1"/>
  <c r="J29" i="1"/>
  <c r="I29" i="1"/>
  <c r="H29" i="1"/>
  <c r="G29" i="1"/>
  <c r="F29" i="1"/>
  <c r="J28" i="1"/>
  <c r="I28" i="1"/>
  <c r="H28" i="1"/>
  <c r="G28" i="1"/>
  <c r="F28" i="1"/>
  <c r="J27" i="1"/>
  <c r="I27" i="1"/>
  <c r="H27" i="1"/>
  <c r="G27" i="1"/>
  <c r="F27" i="1"/>
  <c r="J26" i="1"/>
  <c r="I26" i="1"/>
  <c r="H26" i="1"/>
  <c r="G26" i="1"/>
  <c r="G6" i="2"/>
  <c r="H6" i="2" s="1"/>
  <c r="G7" i="2"/>
  <c r="H7" i="2" s="1"/>
  <c r="G8" i="2"/>
  <c r="H8" i="2" s="1"/>
  <c r="G9" i="2"/>
  <c r="H9" i="2" s="1"/>
  <c r="G10" i="2"/>
  <c r="H10" i="2" s="1"/>
  <c r="G11" i="2"/>
  <c r="I12" i="2" s="1"/>
  <c r="G12" i="2"/>
  <c r="H12" i="2" s="1"/>
  <c r="G13" i="2"/>
  <c r="I14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5" i="2"/>
  <c r="H5" i="2" s="1"/>
  <c r="F6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5" i="1"/>
  <c r="M19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5" i="1"/>
  <c r="D6" i="3"/>
  <c r="D7" i="3"/>
  <c r="D8" i="3"/>
  <c r="D9" i="3"/>
  <c r="D10" i="3"/>
  <c r="D11" i="3"/>
  <c r="D12" i="3"/>
  <c r="D13" i="3"/>
  <c r="D14" i="3"/>
  <c r="D15" i="3"/>
  <c r="D16" i="3"/>
  <c r="D17" i="3"/>
  <c r="E12" i="2"/>
  <c r="E13" i="2"/>
  <c r="E14" i="2"/>
  <c r="E15" i="2"/>
  <c r="E16" i="2"/>
  <c r="E17" i="2"/>
  <c r="E18" i="2"/>
  <c r="E19" i="2"/>
  <c r="E6" i="2"/>
  <c r="E7" i="2"/>
  <c r="E8" i="2"/>
  <c r="E9" i="2"/>
  <c r="E10" i="2"/>
  <c r="E11" i="2"/>
  <c r="D12" i="2"/>
  <c r="D13" i="2"/>
  <c r="D14" i="2"/>
  <c r="D15" i="2"/>
  <c r="D16" i="2"/>
  <c r="D17" i="2"/>
  <c r="D18" i="2"/>
  <c r="D19" i="2"/>
  <c r="D6" i="2"/>
  <c r="D7" i="2"/>
  <c r="D8" i="2"/>
  <c r="D9" i="2"/>
  <c r="D10" i="2"/>
  <c r="D11" i="2"/>
  <c r="C12" i="2"/>
  <c r="C13" i="2"/>
  <c r="C14" i="2"/>
  <c r="C15" i="2"/>
  <c r="C16" i="2"/>
  <c r="C17" i="2"/>
  <c r="C18" i="2"/>
  <c r="C19" i="2"/>
  <c r="C6" i="2"/>
  <c r="C7" i="2"/>
  <c r="C8" i="2"/>
  <c r="C9" i="2"/>
  <c r="C10" i="2"/>
  <c r="C11" i="2"/>
  <c r="L12" i="1"/>
  <c r="L13" i="1"/>
  <c r="L14" i="1"/>
  <c r="L15" i="1"/>
  <c r="L16" i="1"/>
  <c r="L17" i="1"/>
  <c r="L18" i="1"/>
  <c r="L19" i="1"/>
  <c r="K12" i="1"/>
  <c r="K13" i="1"/>
  <c r="K14" i="1"/>
  <c r="K15" i="1"/>
  <c r="K16" i="1"/>
  <c r="K17" i="1"/>
  <c r="K18" i="1"/>
  <c r="K19" i="1"/>
  <c r="H12" i="1"/>
  <c r="H13" i="1"/>
  <c r="H14" i="1"/>
  <c r="H15" i="1"/>
  <c r="H16" i="1"/>
  <c r="H17" i="1"/>
  <c r="H18" i="1"/>
  <c r="H19" i="1"/>
  <c r="F12" i="1"/>
  <c r="F13" i="1"/>
  <c r="F14" i="1"/>
  <c r="F15" i="1"/>
  <c r="F16" i="1"/>
  <c r="F17" i="1"/>
  <c r="F18" i="1"/>
  <c r="F19" i="1"/>
  <c r="E5" i="2"/>
  <c r="D5" i="2"/>
  <c r="C5" i="2"/>
  <c r="L6" i="1"/>
  <c r="L7" i="1"/>
  <c r="L8" i="1"/>
  <c r="L9" i="1"/>
  <c r="L10" i="1"/>
  <c r="L11" i="1"/>
  <c r="L5" i="1"/>
  <c r="K6" i="1"/>
  <c r="K7" i="1"/>
  <c r="K8" i="1"/>
  <c r="K9" i="1"/>
  <c r="K10" i="1"/>
  <c r="K11" i="1"/>
  <c r="K5" i="1"/>
  <c r="H6" i="1"/>
  <c r="H7" i="1"/>
  <c r="H8" i="1"/>
  <c r="J8" i="1" s="1"/>
  <c r="H9" i="1"/>
  <c r="I9" i="1" s="1"/>
  <c r="H10" i="1"/>
  <c r="H11" i="1"/>
  <c r="J11" i="1" s="1"/>
  <c r="H5" i="1"/>
  <c r="F7" i="1"/>
  <c r="F8" i="1"/>
  <c r="F9" i="1"/>
  <c r="F10" i="1"/>
  <c r="F11" i="1"/>
  <c r="F5" i="1"/>
  <c r="P6" i="4" l="1"/>
  <c r="Q4" i="4"/>
  <c r="P4" i="4"/>
  <c r="P5" i="4"/>
  <c r="Q5" i="4"/>
  <c r="Q6" i="4"/>
  <c r="J5" i="1"/>
  <c r="J17" i="1"/>
  <c r="J14" i="1"/>
  <c r="H13" i="2"/>
  <c r="H11" i="2"/>
  <c r="I17" i="2"/>
  <c r="I11" i="2"/>
  <c r="I10" i="2"/>
  <c r="I8" i="2"/>
  <c r="I19" i="2"/>
  <c r="I9" i="2"/>
  <c r="I18" i="2"/>
  <c r="I13" i="2"/>
  <c r="I7" i="2"/>
  <c r="I16" i="2"/>
  <c r="I15" i="2"/>
  <c r="J16" i="1"/>
  <c r="J15" i="1"/>
  <c r="I13" i="1"/>
  <c r="J12" i="1"/>
  <c r="J10" i="1"/>
  <c r="J9" i="1"/>
  <c r="J19" i="1"/>
  <c r="J7" i="1"/>
  <c r="I17" i="1"/>
  <c r="I18" i="1"/>
  <c r="I6" i="1"/>
  <c r="J13" i="1"/>
  <c r="I16" i="1"/>
  <c r="I15" i="1"/>
  <c r="I14" i="1"/>
  <c r="I12" i="1"/>
  <c r="I11" i="1"/>
  <c r="J18" i="1"/>
  <c r="J6" i="1"/>
  <c r="I10" i="1"/>
  <c r="F19" i="2"/>
  <c r="F14" i="2"/>
  <c r="I5" i="1"/>
  <c r="I8" i="1"/>
  <c r="F12" i="2"/>
  <c r="I19" i="1"/>
  <c r="I7" i="1"/>
  <c r="I5" i="2"/>
  <c r="I6" i="2"/>
  <c r="F18" i="2"/>
  <c r="F17" i="2"/>
  <c r="F15" i="2"/>
  <c r="F7" i="2"/>
  <c r="F16" i="2"/>
  <c r="F13" i="2"/>
  <c r="F8" i="2"/>
  <c r="F6" i="2"/>
  <c r="F5" i="2"/>
  <c r="F9" i="2"/>
  <c r="F11" i="2"/>
  <c r="F10" i="2"/>
</calcChain>
</file>

<file path=xl/sharedStrings.xml><?xml version="1.0" encoding="utf-8"?>
<sst xmlns="http://schemas.openxmlformats.org/spreadsheetml/2006/main" count="378" uniqueCount="260">
  <si>
    <t>LEFT(text, [num_chars])</t>
  </si>
  <si>
    <t>RIGHT(text, [num_chars])</t>
  </si>
  <si>
    <t>UPPER()</t>
  </si>
  <si>
    <t>LOWER()</t>
  </si>
  <si>
    <t>Row ID</t>
  </si>
  <si>
    <t>Order ID</t>
  </si>
  <si>
    <t>Order Date</t>
  </si>
  <si>
    <t>Customer Name</t>
  </si>
  <si>
    <t>CA-2016-152156</t>
  </si>
  <si>
    <t>Claire Gute</t>
  </si>
  <si>
    <t>CA-2016-138688</t>
  </si>
  <si>
    <t>Darrin Van Huff</t>
  </si>
  <si>
    <t>US-2015-108966</t>
  </si>
  <si>
    <t>Sean O'Donnell</t>
  </si>
  <si>
    <t>CA-2014-115812</t>
  </si>
  <si>
    <t>Brosina Hoffman</t>
  </si>
  <si>
    <t>CA-2017-114412</t>
  </si>
  <si>
    <t>Andrew Allen</t>
  </si>
  <si>
    <t>CA-2016-161389</t>
  </si>
  <si>
    <t>Irene Maddox</t>
  </si>
  <si>
    <t>US-2015-118983</t>
  </si>
  <si>
    <t>Harold Pawlan</t>
  </si>
  <si>
    <t>YEAR()</t>
  </si>
  <si>
    <t>MONTH()</t>
  </si>
  <si>
    <t>DAY()</t>
  </si>
  <si>
    <t>DATE()</t>
  </si>
  <si>
    <t>Order Year</t>
  </si>
  <si>
    <t>Order Month</t>
  </si>
  <si>
    <t>Order Day</t>
  </si>
  <si>
    <t>Sales</t>
  </si>
  <si>
    <t>Quantity</t>
  </si>
  <si>
    <t>MIN()</t>
  </si>
  <si>
    <t>MAX()</t>
  </si>
  <si>
    <t>SUM()</t>
  </si>
  <si>
    <t>AVERAGE()</t>
  </si>
  <si>
    <t>COUNT()</t>
  </si>
  <si>
    <t>Minimal Sales</t>
  </si>
  <si>
    <t>Maximal Sales</t>
  </si>
  <si>
    <t>Total Sales</t>
  </si>
  <si>
    <t>Average Sales</t>
  </si>
  <si>
    <t>Total Orders</t>
  </si>
  <si>
    <t>ROUNDDOWN(number, num_digits)</t>
  </si>
  <si>
    <t>ROUNDUP(number, num_digits)</t>
  </si>
  <si>
    <t>Feature</t>
  </si>
  <si>
    <t>Max Limit</t>
  </si>
  <si>
    <t>Opening workbooks</t>
  </si>
  <si>
    <t>Limited by available memory and system resources</t>
  </si>
  <si>
    <t>Total number of rows and columns on a worksheet</t>
  </si>
  <si>
    <t>1,048,576 rows and 16,384 columns</t>
  </si>
  <si>
    <t>Select all active cells</t>
  </si>
  <si>
    <t>Ctrl + A</t>
  </si>
  <si>
    <t>Locate the last cell of a work sheet that contains data</t>
  </si>
  <si>
    <t>Ctrl + End</t>
  </si>
  <si>
    <t>From a cell backwards select all cells in one column</t>
  </si>
  <si>
    <t>select the cell with formula, then Ctrl+D in other cell</t>
  </si>
  <si>
    <r>
      <t xml:space="preserve">Select a range of cells -&gt; right click -&gt; </t>
    </r>
    <r>
      <rPr>
        <b/>
        <i/>
        <sz val="11"/>
        <color theme="1"/>
        <rFont val="Calibri"/>
        <family val="2"/>
        <scheme val="minor"/>
      </rPr>
      <t>Define Name</t>
    </r>
    <r>
      <rPr>
        <sz val="11"/>
        <color theme="1"/>
        <rFont val="Calibri"/>
        <family val="2"/>
        <scheme val="minor"/>
      </rPr>
      <t xml:space="preserve">
Select a range of cells -&gt; </t>
    </r>
    <r>
      <rPr>
        <b/>
        <i/>
        <sz val="11"/>
        <color theme="1"/>
        <rFont val="Calibri"/>
        <family val="2"/>
        <scheme val="minor"/>
      </rPr>
      <t>Formulas</t>
    </r>
    <r>
      <rPr>
        <sz val="11"/>
        <color theme="1"/>
        <rFont val="Calibri"/>
        <family val="2"/>
        <scheme val="minor"/>
      </rPr>
      <t xml:space="preserve"> -&gt; </t>
    </r>
    <r>
      <rPr>
        <b/>
        <i/>
        <sz val="11"/>
        <color theme="1"/>
        <rFont val="Calibri"/>
        <family val="2"/>
        <scheme val="minor"/>
      </rPr>
      <t>Define Name</t>
    </r>
  </si>
  <si>
    <t xml:space="preserve">Format cells </t>
  </si>
  <si>
    <r>
      <t xml:space="preserve">Right click on cells -&gt; </t>
    </r>
    <r>
      <rPr>
        <b/>
        <i/>
        <sz val="11"/>
        <color theme="1"/>
        <rFont val="Calibri"/>
        <family val="2"/>
        <scheme val="minor"/>
      </rPr>
      <t>Format cells</t>
    </r>
  </si>
  <si>
    <t>Calculate statistics based on groups</t>
  </si>
  <si>
    <r>
      <t xml:space="preserve">Sort the data based on the grouped column -&gt; </t>
    </r>
    <r>
      <rPr>
        <b/>
        <i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-&gt; </t>
    </r>
    <r>
      <rPr>
        <b/>
        <i/>
        <sz val="11"/>
        <color theme="1"/>
        <rFont val="Calibri"/>
        <family val="2"/>
        <scheme val="minor"/>
      </rPr>
      <t>Subtotal</t>
    </r>
  </si>
  <si>
    <t>Reference columns by name in table</t>
  </si>
  <si>
    <t>Dynamic and automatically updates as data is added or removed</t>
  </si>
  <si>
    <t>How to transform a named range into a table</t>
  </si>
  <si>
    <r>
      <t xml:space="preserve">Select all data(Ctrl+A) -&gt; </t>
    </r>
    <r>
      <rPr>
        <b/>
        <i/>
        <sz val="11"/>
        <color theme="1"/>
        <rFont val="Calibri"/>
        <family val="2"/>
        <scheme val="minor"/>
      </rPr>
      <t>Insert</t>
    </r>
    <r>
      <rPr>
        <sz val="11"/>
        <color theme="1"/>
        <rFont val="Calibri"/>
        <family val="2"/>
        <scheme val="minor"/>
      </rPr>
      <t xml:space="preserve"> -&gt; </t>
    </r>
    <r>
      <rPr>
        <b/>
        <i/>
        <sz val="11"/>
        <color theme="1"/>
        <rFont val="Calibri"/>
        <family val="2"/>
        <scheme val="minor"/>
      </rPr>
      <t>Table</t>
    </r>
  </si>
  <si>
    <t>How to use the structured reference in a table</t>
  </si>
  <si>
    <t>Ctrl + Shift+↑</t>
  </si>
  <si>
    <t>Apply a formula to other cell</t>
  </si>
  <si>
    <t>Set data validation rules</t>
  </si>
  <si>
    <r>
      <t xml:space="preserve">Select column -&gt; </t>
    </r>
    <r>
      <rPr>
        <b/>
        <i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-&gt; </t>
    </r>
    <r>
      <rPr>
        <b/>
        <i/>
        <sz val="11"/>
        <color theme="1"/>
        <rFont val="Calibri"/>
        <family val="2"/>
        <scheme val="minor"/>
      </rPr>
      <t>Data Validation</t>
    </r>
  </si>
  <si>
    <t>Example sample</t>
  </si>
  <si>
    <t>Typical functions</t>
  </si>
  <si>
    <t>Formular</t>
  </si>
  <si>
    <t>AVERAGE(B4:B17)</t>
  </si>
  <si>
    <t>AVERAGE(B:B)</t>
  </si>
  <si>
    <t>AVERAGE(Table4[Sales])</t>
  </si>
  <si>
    <t>Using cell reference</t>
  </si>
  <si>
    <t>Using whole column</t>
  </si>
  <si>
    <t>Using column name in a table. The table name can be found under Table Design after click any cell in the table.</t>
  </si>
  <si>
    <t>Total Price</t>
  </si>
  <si>
    <t>Only using the value of current row, and only possible inside the table</t>
  </si>
  <si>
    <t>[@Sales]*[@Quantity]</t>
  </si>
  <si>
    <t xml:space="preserve"> </t>
  </si>
  <si>
    <t>LEN(text)</t>
  </si>
  <si>
    <t>Flash fill</t>
  </si>
  <si>
    <t>Ctrl + E</t>
  </si>
  <si>
    <t>MID(text, start_num, num_chars)</t>
  </si>
  <si>
    <t>TEXTJOIN(delimiter, ignore_empty, text1, [text2], ...)</t>
  </si>
  <si>
    <t>CONCAT(text1, [text2],...)</t>
  </si>
  <si>
    <t>MID(C4,4,4)</t>
  </si>
  <si>
    <t>LEFT(C4,2)</t>
  </si>
  <si>
    <t>RIGHT(C4,6)</t>
  </si>
  <si>
    <t>CONCAT(G4,"_",H4)</t>
  </si>
  <si>
    <t>TEXTJOIN("/",TRUE,G4,H4)</t>
  </si>
  <si>
    <t>UPPER(E4)</t>
  </si>
  <si>
    <t>LOWER(E4)</t>
  </si>
  <si>
    <t>LEN(E4)</t>
  </si>
  <si>
    <t>TODAY()</t>
  </si>
  <si>
    <t>WEEKDAY(G4,2)</t>
  </si>
  <si>
    <t>WORKDAY(start_date, days, [holidays])</t>
  </si>
  <si>
    <t>WORKDAY(G4,5)/WORKDAY(G5,-2)</t>
  </si>
  <si>
    <t>AND(logical 1, [logical 2], ...)</t>
  </si>
  <si>
    <t>Gute's Order in 2016</t>
  </si>
  <si>
    <t>Excel doesn't appect singel quotes for text value</t>
  </si>
  <si>
    <t>Wrong</t>
  </si>
  <si>
    <t>Correct</t>
  </si>
  <si>
    <t xml:space="preserve">"Claire Gute" </t>
  </si>
  <si>
    <t>'Claire Gute'</t>
  </si>
  <si>
    <t>OR(logical 1, [logical 2], ...)</t>
  </si>
  <si>
    <t>Orders from Gute or Allen</t>
  </si>
  <si>
    <t>NOT(logical)</t>
  </si>
  <si>
    <t>Orders after 2014?</t>
  </si>
  <si>
    <t>IF(logical_test,[value_if_true], [value_if_false])</t>
  </si>
  <si>
    <t>2014-2015, Others</t>
  </si>
  <si>
    <t>IF(logical_test,[value_if_true], 
IF(logical_test, [value_if_true],[value_if_false]))</t>
  </si>
  <si>
    <t>2014, between,2017</t>
  </si>
  <si>
    <t>VLOOKUP</t>
  </si>
  <si>
    <t>VLOOKUP(lookup_value, table_array, col_index_num, [range_lookup])</t>
  </si>
  <si>
    <t>HLOOKUP</t>
  </si>
  <si>
    <t>HLOOKUP(lookup_value, table_array, row_index_num, [range_lookup])</t>
  </si>
  <si>
    <t>Text Functions</t>
  </si>
  <si>
    <t>Logical Functions</t>
  </si>
  <si>
    <t>Date Functions</t>
  </si>
  <si>
    <t>Excel Limitations</t>
  </si>
  <si>
    <t>Basic Operations</t>
  </si>
  <si>
    <t>Shortcuts</t>
  </si>
  <si>
    <t>Formating</t>
  </si>
  <si>
    <t>Statistics</t>
  </si>
  <si>
    <r>
      <t>Name a range of rows or columns</t>
    </r>
    <r>
      <rPr>
        <sz val="11"/>
        <color theme="1"/>
        <rFont val="Calibri"/>
        <family val="2"/>
        <scheme val="minor"/>
      </rPr>
      <t>(Define a range of rows for further calculation using the range name)</t>
    </r>
  </si>
  <si>
    <t>2. Referencing a whole column in current table, using [column_name]</t>
  </si>
  <si>
    <t>2. Cross tables, just using Tablename[column_name]</t>
  </si>
  <si>
    <r>
      <t xml:space="preserve">1. Using @ in the current table: 
Use column name: </t>
    </r>
    <r>
      <rPr>
        <b/>
        <i/>
        <sz val="11"/>
        <color theme="1"/>
        <rFont val="Calibri"/>
        <family val="2"/>
        <scheme val="minor"/>
      </rPr>
      <t>[@column_name]</t>
    </r>
    <r>
      <rPr>
        <sz val="11"/>
        <color theme="1"/>
        <rFont val="Calibri"/>
        <family val="2"/>
        <scheme val="minor"/>
      </rPr>
      <t xml:space="preserve"> or </t>
    </r>
    <r>
      <rPr>
        <b/>
        <i/>
        <sz val="11"/>
        <color theme="1"/>
        <rFont val="Calibri"/>
        <family val="2"/>
        <scheme val="minor"/>
      </rPr>
      <t>[@[column_name]]</t>
    </r>
    <r>
      <rPr>
        <sz val="11"/>
        <color theme="1"/>
        <rFont val="Calibri"/>
        <family val="2"/>
        <scheme val="minor"/>
      </rPr>
      <t xml:space="preserve"> if there is special characters between column name
</t>
    </r>
  </si>
  <si>
    <t>Table in Excel</t>
  </si>
  <si>
    <r>
      <rPr>
        <b/>
        <i/>
        <sz val="11"/>
        <color theme="1"/>
        <rFont val="Calibri"/>
        <family val="2"/>
        <scheme val="minor"/>
      </rPr>
      <t>WEEKDAY(serial_num,[return_type])</t>
    </r>
    <r>
      <rPr>
        <b/>
        <sz val="11"/>
        <color theme="1"/>
        <rFont val="Calibri"/>
        <family val="2"/>
        <scheme val="minor"/>
      </rPr>
      <t xml:space="preserve">
return_type: 1(Sunday) to 7(Saturday)</t>
    </r>
  </si>
  <si>
    <r>
      <rPr>
        <b/>
        <i/>
        <sz val="11"/>
        <color theme="1"/>
        <rFont val="Calibri"/>
        <family val="2"/>
        <scheme val="minor"/>
      </rPr>
      <t>ROUND(number, num_digits)</t>
    </r>
    <r>
      <rPr>
        <b/>
        <sz val="11"/>
        <color theme="1"/>
        <rFont val="Calibri"/>
        <family val="2"/>
        <scheme val="minor"/>
      </rPr>
      <t xml:space="preserve">
negative num_digits round the number to left, -1 to 10, -2 to 100 and so on.</t>
    </r>
  </si>
  <si>
    <r>
      <rPr>
        <b/>
        <i/>
        <sz val="11"/>
        <color theme="1"/>
        <rFont val="Calibri"/>
        <family val="2"/>
        <scheme val="minor"/>
      </rPr>
      <t>col_index_num</t>
    </r>
    <r>
      <rPr>
        <sz val="11"/>
        <color theme="1"/>
        <rFont val="Calibri"/>
        <family val="2"/>
        <scheme val="minor"/>
      </rPr>
      <t>: column number with return value when counting columns in the table_array range from left to right</t>
    </r>
  </si>
  <si>
    <r>
      <rPr>
        <b/>
        <i/>
        <sz val="11"/>
        <color theme="1"/>
        <rFont val="Calibri"/>
        <family val="2"/>
        <scheme val="minor"/>
      </rPr>
      <t>range_lookup</t>
    </r>
    <r>
      <rPr>
        <sz val="11"/>
        <color theme="1"/>
        <rFont val="Calibri"/>
        <family val="2"/>
        <scheme val="minor"/>
      </rPr>
      <t>: exact match(FALSE) or approximate match(TRUE)</t>
    </r>
  </si>
  <si>
    <r>
      <rPr>
        <b/>
        <i/>
        <sz val="11"/>
        <color theme="1"/>
        <rFont val="Calibri"/>
        <family val="2"/>
        <scheme val="minor"/>
      </rPr>
      <t>lookup_value</t>
    </r>
    <r>
      <rPr>
        <sz val="11"/>
        <color theme="1"/>
        <rFont val="Calibri"/>
        <family val="2"/>
        <scheme val="minor"/>
      </rPr>
      <t>: value searched in the first column in the table_array, which is used to identify the row number</t>
    </r>
  </si>
  <si>
    <r>
      <rPr>
        <b/>
        <i/>
        <sz val="11"/>
        <color theme="1"/>
        <rFont val="Calibri"/>
        <family val="2"/>
        <scheme val="minor"/>
      </rPr>
      <t>row_index_num</t>
    </r>
    <r>
      <rPr>
        <sz val="11"/>
        <color theme="1"/>
        <rFont val="Calibri"/>
        <family val="2"/>
        <scheme val="minor"/>
      </rPr>
      <t>: row number with return value when counting rows in the table_array range from top to bottom</t>
    </r>
  </si>
  <si>
    <t>VLOOLUP</t>
  </si>
  <si>
    <r>
      <rPr>
        <b/>
        <sz val="11"/>
        <color rgb="FFFF0000"/>
        <rFont val="Calibri"/>
        <family val="2"/>
        <scheme val="minor"/>
      </rPr>
      <t>!</t>
    </r>
    <r>
      <rPr>
        <sz val="11"/>
        <color theme="1"/>
        <rFont val="Calibri"/>
        <family val="2"/>
        <scheme val="minor"/>
      </rPr>
      <t xml:space="preserve"> VLOOKUP can only return values </t>
    </r>
    <r>
      <rPr>
        <b/>
        <sz val="11"/>
        <color theme="1"/>
        <rFont val="Calibri"/>
        <family val="2"/>
        <scheme val="minor"/>
      </rPr>
      <t>to the RIGHT</t>
    </r>
    <r>
      <rPr>
        <sz val="11"/>
        <color theme="1"/>
        <rFont val="Calibri"/>
        <family val="2"/>
        <scheme val="minor"/>
      </rPr>
      <t xml:space="preserve"> of the lookup column</t>
    </r>
  </si>
  <si>
    <r>
      <rPr>
        <b/>
        <sz val="11"/>
        <color rgb="FFFF0000"/>
        <rFont val="Calibri"/>
        <family val="2"/>
        <scheme val="minor"/>
      </rPr>
      <t>!</t>
    </r>
    <r>
      <rPr>
        <sz val="11"/>
        <color theme="1"/>
        <rFont val="Calibri"/>
        <family val="2"/>
        <scheme val="minor"/>
      </rPr>
      <t xml:space="preserve"> HLOOKUP can only return values </t>
    </r>
    <r>
      <rPr>
        <b/>
        <sz val="11"/>
        <color theme="1"/>
        <rFont val="Calibri"/>
        <family val="2"/>
        <scheme val="minor"/>
      </rPr>
      <t>BELOW</t>
    </r>
    <r>
      <rPr>
        <sz val="11"/>
        <color theme="1"/>
        <rFont val="Calibri"/>
        <family val="2"/>
        <scheme val="minor"/>
      </rPr>
      <t xml:space="preserve"> the lookup row</t>
    </r>
  </si>
  <si>
    <t>Order ID(lookup column)</t>
  </si>
  <si>
    <t>Order equence(lookup row)</t>
  </si>
  <si>
    <t>Customer(result)</t>
  </si>
  <si>
    <t>XLOOKUP</t>
  </si>
  <si>
    <t>XLOOKUP(lookup_value, lookup_array, return_array, [if_not_found], [match_mode], [search_mode])</t>
  </si>
  <si>
    <r>
      <rPr>
        <b/>
        <i/>
        <sz val="11"/>
        <color theme="1"/>
        <rFont val="Calibri"/>
        <family val="2"/>
        <scheme val="minor"/>
      </rPr>
      <t>lookup_value</t>
    </r>
    <r>
      <rPr>
        <sz val="11"/>
        <color theme="1"/>
        <rFont val="Calibri"/>
        <family val="2"/>
        <scheme val="minor"/>
      </rPr>
      <t>: value searched in the first row(including the column header) in the table_array, which is used to identify the colmn number.</t>
    </r>
  </si>
  <si>
    <r>
      <rPr>
        <b/>
        <i/>
        <sz val="11"/>
        <color theme="1"/>
        <rFont val="Calibri"/>
        <family val="2"/>
        <scheme val="minor"/>
      </rPr>
      <t>lookup_value</t>
    </r>
    <r>
      <rPr>
        <sz val="11"/>
        <color theme="1"/>
        <rFont val="Calibri"/>
        <family val="2"/>
        <scheme val="minor"/>
      </rPr>
      <t>: value searched in the lookup range to idenfify the cell</t>
    </r>
  </si>
  <si>
    <r>
      <rPr>
        <b/>
        <i/>
        <sz val="11"/>
        <color theme="1"/>
        <rFont val="Calibri"/>
        <family val="2"/>
        <scheme val="minor"/>
      </rPr>
      <t>lookup_array</t>
    </r>
    <r>
      <rPr>
        <sz val="11"/>
        <color theme="1"/>
        <rFont val="Calibri"/>
        <family val="2"/>
        <scheme val="minor"/>
      </rPr>
      <t>: a range where Excel looks for lookup_value</t>
    </r>
  </si>
  <si>
    <r>
      <rPr>
        <b/>
        <i/>
        <sz val="11"/>
        <color theme="1"/>
        <rFont val="Calibri"/>
        <family val="2"/>
        <scheme val="minor"/>
      </rPr>
      <t>return_array</t>
    </r>
    <r>
      <rPr>
        <sz val="11"/>
        <color theme="1"/>
        <rFont val="Calibri"/>
        <family val="2"/>
        <scheme val="minor"/>
      </rPr>
      <t>: a range what Excel returns when a match is found. A row or column with the same size as lookup_array. 
Can be left, right, above, or below the lookup range</t>
    </r>
  </si>
  <si>
    <r>
      <rPr>
        <b/>
        <i/>
        <sz val="11"/>
        <color theme="1"/>
        <rFont val="Calibri"/>
        <family val="2"/>
        <scheme val="minor"/>
      </rPr>
      <t>if_not_found</t>
    </r>
    <r>
      <rPr>
        <sz val="11"/>
        <color theme="1"/>
        <rFont val="Calibri"/>
        <family val="2"/>
        <scheme val="minor"/>
      </rPr>
      <t>: what to return if no match exists</t>
    </r>
  </si>
  <si>
    <r>
      <rPr>
        <b/>
        <i/>
        <sz val="11"/>
        <color theme="1"/>
        <rFont val="Calibri"/>
        <family val="2"/>
        <scheme val="minor"/>
      </rPr>
      <t>match_mode</t>
    </r>
    <r>
      <rPr>
        <sz val="11"/>
        <color theme="1"/>
        <rFont val="Calibri"/>
        <family val="2"/>
        <scheme val="minor"/>
      </rPr>
      <t>: how excel matches the value. 0-&gt;exact, -1-&gt;  exact or next smaller, 1-&gt; exact or next larger, 2-&gt; wildcard</t>
    </r>
  </si>
  <si>
    <r>
      <rPr>
        <b/>
        <i/>
        <sz val="11"/>
        <color theme="1"/>
        <rFont val="Calibri"/>
        <family val="2"/>
        <scheme val="minor"/>
      </rPr>
      <t>search_mode</t>
    </r>
    <r>
      <rPr>
        <sz val="11"/>
        <color theme="1"/>
        <rFont val="Calibri"/>
        <family val="2"/>
        <scheme val="minor"/>
      </rPr>
      <t>: 1-&gt;first to last, -1:last to first, 2-&gt;binary ascending, -2-&gt;binary descending</t>
    </r>
  </si>
  <si>
    <t>Customer Name(lookup column)</t>
  </si>
  <si>
    <t>Order ID(result)</t>
  </si>
  <si>
    <r>
      <rPr>
        <b/>
        <i/>
        <sz val="11"/>
        <color theme="1"/>
        <rFont val="Calibri"/>
        <family val="2"/>
        <scheme val="minor"/>
      </rPr>
      <t>table_array</t>
    </r>
    <r>
      <rPr>
        <sz val="11"/>
        <color theme="1"/>
        <rFont val="Calibri"/>
        <family val="2"/>
        <scheme val="minor"/>
      </rPr>
      <t>: table range to be searched</t>
    </r>
  </si>
  <si>
    <t>Row Labels</t>
  </si>
  <si>
    <t>Grand Total</t>
  </si>
  <si>
    <t>2007</t>
  </si>
  <si>
    <t>2005</t>
  </si>
  <si>
    <t>2009</t>
  </si>
  <si>
    <t>2011</t>
  </si>
  <si>
    <t>Sales_Q1</t>
  </si>
  <si>
    <t>Sales_Q2</t>
  </si>
  <si>
    <t>Sum of Sales_Q1</t>
  </si>
  <si>
    <t>Sum of Sales_Q2</t>
  </si>
  <si>
    <t>Sales Year</t>
  </si>
  <si>
    <r>
      <rPr>
        <b/>
        <sz val="11"/>
        <color theme="1"/>
        <rFont val="Calibri"/>
        <family val="2"/>
        <scheme val="minor"/>
      </rPr>
      <t xml:space="preserve">How to create a pivot table?
</t>
    </r>
    <r>
      <rPr>
        <sz val="11"/>
        <color theme="1"/>
        <rFont val="Calibri"/>
        <family val="2"/>
        <scheme val="minor"/>
      </rPr>
      <t xml:space="preserve">
1. select a data range-&gt; </t>
    </r>
    <r>
      <rPr>
        <b/>
        <i/>
        <sz val="11"/>
        <color theme="1"/>
        <rFont val="Calibri"/>
        <family val="2"/>
        <scheme val="minor"/>
      </rPr>
      <t>Insert</t>
    </r>
    <r>
      <rPr>
        <sz val="11"/>
        <color theme="1"/>
        <rFont val="Calibri"/>
        <family val="2"/>
        <scheme val="minor"/>
      </rPr>
      <t xml:space="preserve">-&gt; </t>
    </r>
    <r>
      <rPr>
        <b/>
        <i/>
        <sz val="11"/>
        <color theme="1"/>
        <rFont val="Calibri"/>
        <family val="2"/>
        <scheme val="minor"/>
      </rPr>
      <t>Pivot Table</t>
    </r>
    <r>
      <rPr>
        <sz val="11"/>
        <color theme="1"/>
        <rFont val="Calibri"/>
        <family val="2"/>
        <scheme val="minor"/>
      </rPr>
      <t xml:space="preserve">
2. choose where to insert the pivot table
3. In Menu </t>
    </r>
    <r>
      <rPr>
        <b/>
        <i/>
        <sz val="11"/>
        <color theme="1"/>
        <rFont val="Calibri"/>
        <family val="2"/>
        <scheme val="minor"/>
      </rPr>
      <t>Pivot Table &amp; Analyze</t>
    </r>
    <r>
      <rPr>
        <sz val="11"/>
        <color theme="1"/>
        <rFont val="Calibri"/>
        <family val="2"/>
        <scheme val="minor"/>
      </rPr>
      <t xml:space="preserve"> to set the properties</t>
    </r>
  </si>
  <si>
    <r>
      <t>Click a chart -&gt;</t>
    </r>
    <r>
      <rPr>
        <b/>
        <i/>
        <sz val="11"/>
        <color theme="1"/>
        <rFont val="Calibri"/>
        <family val="2"/>
        <scheme val="minor"/>
      </rPr>
      <t xml:space="preserve"> Chart Design</t>
    </r>
    <r>
      <rPr>
        <sz val="11"/>
        <color theme="1"/>
        <rFont val="Calibri"/>
        <family val="2"/>
        <scheme val="minor"/>
      </rPr>
      <t xml:space="preserve"> -&gt; </t>
    </r>
    <r>
      <rPr>
        <b/>
        <i/>
        <sz val="11"/>
        <color theme="1"/>
        <rFont val="Calibri"/>
        <family val="2"/>
        <scheme val="minor"/>
      </rPr>
      <t xml:space="preserve">Add Chart Element, </t>
    </r>
    <r>
      <rPr>
        <sz val="11"/>
        <color theme="1"/>
        <rFont val="Calibri"/>
        <family val="2"/>
        <scheme val="minor"/>
      </rPr>
      <t>like legend, data labels and so on.</t>
    </r>
  </si>
  <si>
    <t>Line Chart</t>
  </si>
  <si>
    <t>Column Chart</t>
  </si>
  <si>
    <t>Region</t>
  </si>
  <si>
    <t>Profit</t>
  </si>
  <si>
    <t>Central</t>
  </si>
  <si>
    <t>East</t>
  </si>
  <si>
    <t>South</t>
  </si>
  <si>
    <t>West</t>
  </si>
  <si>
    <t>Doughnut Chart</t>
  </si>
  <si>
    <t>Pie Chart</t>
  </si>
  <si>
    <t>Total</t>
  </si>
  <si>
    <t>Sales_Percentage</t>
  </si>
  <si>
    <t>Profit_Percentage</t>
  </si>
  <si>
    <t>100% Stacked Bar Chart</t>
  </si>
  <si>
    <t>Sub-Category</t>
  </si>
  <si>
    <t>Consumer</t>
  </si>
  <si>
    <t>Corporate</t>
  </si>
  <si>
    <t>Home Office</t>
  </si>
  <si>
    <t>Fasteners</t>
  </si>
  <si>
    <t>Labels</t>
  </si>
  <si>
    <t>Envelopes</t>
  </si>
  <si>
    <t>Art</t>
  </si>
  <si>
    <t>Supplies</t>
  </si>
  <si>
    <t>Paper</t>
  </si>
  <si>
    <t>Furnishings</t>
  </si>
  <si>
    <t>Appliances</t>
  </si>
  <si>
    <t>Bookcases</t>
  </si>
  <si>
    <t>Copiers</t>
  </si>
  <si>
    <t>Segment per Sub Category</t>
  </si>
  <si>
    <t>Bar Chart</t>
  </si>
  <si>
    <t>Stacked Bar Chart</t>
  </si>
  <si>
    <r>
      <rPr>
        <b/>
        <sz val="12"/>
        <color theme="1"/>
        <rFont val="Calibri"/>
        <family val="2"/>
        <scheme val="minor"/>
      </rPr>
      <t>How to create a viz?</t>
    </r>
    <r>
      <rPr>
        <sz val="11"/>
        <color theme="1"/>
        <rFont val="Calibri"/>
        <family val="2"/>
        <scheme val="minor"/>
      </rPr>
      <t xml:space="preserve">
1. Select any data in the table -&gt; </t>
    </r>
    <r>
      <rPr>
        <b/>
        <i/>
        <sz val="11"/>
        <color theme="1"/>
        <rFont val="Calibri"/>
        <family val="2"/>
        <scheme val="minor"/>
      </rPr>
      <t>Insert</t>
    </r>
    <r>
      <rPr>
        <sz val="11"/>
        <color theme="1"/>
        <rFont val="Calibri"/>
        <family val="2"/>
        <scheme val="minor"/>
      </rPr>
      <t xml:space="preserve"> -&gt; </t>
    </r>
    <r>
      <rPr>
        <b/>
        <i/>
        <sz val="11"/>
        <color theme="1"/>
        <rFont val="Calibri"/>
        <family val="2"/>
        <scheme val="minor"/>
      </rPr>
      <t>Charts</t>
    </r>
    <r>
      <rPr>
        <sz val="11"/>
        <color theme="1"/>
        <rFont val="Calibri"/>
        <family val="2"/>
        <scheme val="minor"/>
      </rPr>
      <t xml:space="preserve">, select the suitable chart
2. Click Chart -&gt; </t>
    </r>
    <r>
      <rPr>
        <b/>
        <i/>
        <sz val="11"/>
        <color theme="1"/>
        <rFont val="Calibri"/>
        <family val="2"/>
        <scheme val="minor"/>
      </rPr>
      <t>Chart Design</t>
    </r>
    <r>
      <rPr>
        <sz val="11"/>
        <color theme="1"/>
        <rFont val="Calibri"/>
        <family val="2"/>
        <scheme val="minor"/>
      </rPr>
      <t xml:space="preserve"> -&gt; </t>
    </r>
    <r>
      <rPr>
        <b/>
        <i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-&gt; Select Data, adjust the x- and y-axis
3. Click the Chart element -&gt; right click -&gt; </t>
    </r>
    <r>
      <rPr>
        <b/>
        <i/>
        <sz val="11"/>
        <color theme="1"/>
        <rFont val="Calibri"/>
        <family val="2"/>
        <scheme val="minor"/>
      </rPr>
      <t>Add Data Labels</t>
    </r>
  </si>
  <si>
    <r>
      <t>How to change chart color?
Click a chart-&gt;</t>
    </r>
    <r>
      <rPr>
        <b/>
        <i/>
        <sz val="11"/>
        <color theme="1"/>
        <rFont val="Calibri"/>
        <family val="2"/>
        <scheme val="minor"/>
      </rPr>
      <t xml:space="preserve"> Chart Design</t>
    </r>
    <r>
      <rPr>
        <sz val="11"/>
        <color theme="1"/>
        <rFont val="Calibri"/>
        <family val="2"/>
        <scheme val="minor"/>
      </rPr>
      <t xml:space="preserve">-&gt; </t>
    </r>
    <r>
      <rPr>
        <b/>
        <i/>
        <sz val="11"/>
        <color theme="1"/>
        <rFont val="Calibri"/>
        <family val="2"/>
        <scheme val="minor"/>
      </rPr>
      <t>Change Colors</t>
    </r>
    <r>
      <rPr>
        <sz val="11"/>
        <color theme="1"/>
        <rFont val="Calibri"/>
        <family val="2"/>
        <scheme val="minor"/>
      </rPr>
      <t xml:space="preserve">
The color palette can be set in</t>
    </r>
    <r>
      <rPr>
        <b/>
        <i/>
        <sz val="11"/>
        <color theme="1"/>
        <rFont val="Calibri"/>
        <family val="2"/>
        <scheme val="minor"/>
      </rPr>
      <t xml:space="preserve"> Page Layout</t>
    </r>
    <r>
      <rPr>
        <sz val="11"/>
        <color theme="1"/>
        <rFont val="Calibri"/>
        <family val="2"/>
        <scheme val="minor"/>
      </rPr>
      <t xml:space="preserve">-&gt; </t>
    </r>
    <r>
      <rPr>
        <b/>
        <i/>
        <sz val="11"/>
        <color theme="1"/>
        <rFont val="Calibri"/>
        <family val="2"/>
        <scheme val="minor"/>
      </rPr>
      <t>Themes</t>
    </r>
    <r>
      <rPr>
        <sz val="11"/>
        <color theme="1"/>
        <rFont val="Calibri"/>
        <family val="2"/>
        <scheme val="minor"/>
      </rPr>
      <t xml:space="preserve"> -&gt; </t>
    </r>
    <r>
      <rPr>
        <b/>
        <i/>
        <sz val="11"/>
        <color theme="1"/>
        <rFont val="Calibri"/>
        <family val="2"/>
        <scheme val="minor"/>
      </rPr>
      <t>Colors</t>
    </r>
  </si>
  <si>
    <t>Quarterly Sales per Region</t>
  </si>
  <si>
    <t>Quarter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</si>
  <si>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</si>
  <si>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</si>
  <si>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</si>
  <si>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</si>
  <si>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</si>
  <si>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</si>
  <si>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</si>
  <si>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</si>
  <si>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</si>
  <si>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</si>
  <si>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</si>
  <si>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</si>
  <si>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</si>
  <si>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</si>
  <si>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</si>
  <si>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</si>
  <si>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100% Stacked Area Chart</t>
  </si>
  <si>
    <t>Yearly 2018 Sales</t>
  </si>
  <si>
    <t>Average Yearly Sales 2014-2019</t>
  </si>
  <si>
    <t>Accessories</t>
  </si>
  <si>
    <t>Binders</t>
  </si>
  <si>
    <t>Chairs</t>
  </si>
  <si>
    <t>Bullet Chart</t>
  </si>
  <si>
    <r>
      <rPr>
        <b/>
        <sz val="12"/>
        <color theme="1"/>
        <rFont val="Calibri"/>
        <family val="2"/>
        <scheme val="minor"/>
      </rPr>
      <t>How to create a bullet chart?</t>
    </r>
    <r>
      <rPr>
        <sz val="11"/>
        <color theme="1"/>
        <rFont val="Calibri"/>
        <family val="2"/>
        <scheme val="minor"/>
      </rPr>
      <t xml:space="preserve">
Creat a comb chart-&gt; select type of each chart as </t>
    </r>
    <r>
      <rPr>
        <b/>
        <i/>
        <sz val="11"/>
        <color theme="1"/>
        <rFont val="Calibri"/>
        <family val="2"/>
        <scheme val="minor"/>
      </rPr>
      <t>Clustered Bar</t>
    </r>
    <r>
      <rPr>
        <sz val="11"/>
        <color theme="1"/>
        <rFont val="Calibri"/>
        <family val="2"/>
        <scheme val="minor"/>
      </rPr>
      <t xml:space="preserve"> or </t>
    </r>
    <r>
      <rPr>
        <b/>
        <i/>
        <sz val="11"/>
        <color theme="1"/>
        <rFont val="Calibri"/>
        <family val="2"/>
        <scheme val="minor"/>
      </rPr>
      <t>Clustered Column</t>
    </r>
    <r>
      <rPr>
        <sz val="11"/>
        <color theme="1"/>
        <rFont val="Calibri"/>
        <family val="2"/>
        <scheme val="minor"/>
      </rPr>
      <t xml:space="preserve">-&gt; Adjust the Bar width of benchmark 
</t>
    </r>
  </si>
  <si>
    <t>Year / Quarter</t>
  </si>
  <si>
    <t>Cumulative Profit</t>
  </si>
  <si>
    <t>Delta</t>
  </si>
  <si>
    <t>2015</t>
  </si>
  <si>
    <t>Q1</t>
  </si>
  <si>
    <t>Q2</t>
  </si>
  <si>
    <t>Q3</t>
  </si>
  <si>
    <t>Q4</t>
  </si>
  <si>
    <t>2016</t>
  </si>
  <si>
    <t>2017</t>
  </si>
  <si>
    <t>Waterfall Chart</t>
  </si>
  <si>
    <t>Regional Contribution of Profit and Sales</t>
  </si>
  <si>
    <t>2018 Sales vs. 2014-19 Average Yearly Sales</t>
  </si>
  <si>
    <t>Quarterly Profit Walk-through</t>
  </si>
  <si>
    <t>Reginal Performance Quadrant</t>
  </si>
  <si>
    <t>Scatter Chart</t>
  </si>
  <si>
    <t>1. Avoid to use 3D charts since they make the data hard to intepret.</t>
  </si>
  <si>
    <t>Data Viz Tips</t>
  </si>
  <si>
    <r>
      <t xml:space="preserve">3. Avoid to use rainbow colors in bar chart, since colors bring no value. Keep the same color or highlight a bar with color to draw attention to the highest value. </t>
    </r>
    <r>
      <rPr>
        <sz val="11"/>
        <color rgb="FFFF0000"/>
        <rFont val="Calibri"/>
        <family val="2"/>
        <scheme val="minor"/>
      </rPr>
      <t>Rot</t>
    </r>
    <r>
      <rPr>
        <sz val="11"/>
        <color theme="1"/>
        <rFont val="Calibri"/>
        <family val="2"/>
        <scheme val="minor"/>
      </rPr>
      <t>/</t>
    </r>
    <r>
      <rPr>
        <sz val="11"/>
        <color rgb="FF00B050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>/</t>
    </r>
    <r>
      <rPr>
        <sz val="11"/>
        <color rgb="FFFFC000"/>
        <rFont val="Calibri"/>
        <family val="2"/>
        <scheme val="minor"/>
      </rPr>
      <t>amber</t>
    </r>
    <r>
      <rPr>
        <sz val="11"/>
        <color theme="1"/>
        <rFont val="Calibri"/>
        <family val="2"/>
        <scheme val="minor"/>
      </rPr>
      <t xml:space="preserve"> should not to used for category legend.</t>
    </r>
  </si>
  <si>
    <t>4. Highlight the key message in the title to draw attention.</t>
  </si>
  <si>
    <t>5. Considering graying out or increase the transparency of less important data points.</t>
  </si>
  <si>
    <r>
      <rPr>
        <b/>
        <sz val="11"/>
        <color theme="1"/>
        <rFont val="Calibri"/>
        <family val="2"/>
        <scheme val="minor"/>
      </rPr>
      <t>Composition</t>
    </r>
    <r>
      <rPr>
        <sz val="11"/>
        <color theme="1"/>
        <rFont val="Calibri"/>
        <family val="2"/>
        <scheme val="minor"/>
      </rPr>
      <t xml:space="preserve">
- 100% stacked bar, column, area charts
- Pie and doughnut charts
- Waterfall chart</t>
    </r>
  </si>
  <si>
    <r>
      <rPr>
        <b/>
        <sz val="11"/>
        <color theme="1"/>
        <rFont val="Calibri"/>
        <family val="2"/>
        <scheme val="minor"/>
      </rPr>
      <t>Comparison &amp; evolution</t>
    </r>
    <r>
      <rPr>
        <sz val="11"/>
        <color theme="1"/>
        <rFont val="Calibri"/>
        <family val="2"/>
        <scheme val="minor"/>
      </rPr>
      <t xml:space="preserve"> 
- Clustered bars and columns
- Line and area charts
- Bullet chart
- Radar chart</t>
    </r>
  </si>
  <si>
    <r>
      <rPr>
        <b/>
        <sz val="11"/>
        <color theme="1"/>
        <rFont val="Calibri"/>
        <family val="2"/>
        <scheme val="minor"/>
      </rPr>
      <t>Relationships</t>
    </r>
    <r>
      <rPr>
        <sz val="11"/>
        <color theme="1"/>
        <rFont val="Calibri"/>
        <family val="2"/>
        <scheme val="minor"/>
      </rPr>
      <t xml:space="preserve">
- Scatter chart
- Bubble chart</t>
    </r>
  </si>
  <si>
    <r>
      <rPr>
        <b/>
        <sz val="11"/>
        <color theme="1"/>
        <rFont val="Calibri"/>
        <family val="2"/>
        <scheme val="minor"/>
      </rPr>
      <t>Distribution</t>
    </r>
    <r>
      <rPr>
        <sz val="11"/>
        <color theme="1"/>
        <rFont val="Calibri"/>
        <family val="2"/>
        <scheme val="minor"/>
      </rPr>
      <t xml:space="preserve">
- Histograms
- Box plot
- Heat and density maps</t>
    </r>
  </si>
  <si>
    <t>Chart Formatting</t>
  </si>
  <si>
    <t>Choose The Right Chart</t>
  </si>
  <si>
    <r>
      <rPr>
        <b/>
        <sz val="11"/>
        <color theme="1"/>
        <rFont val="Calibri"/>
        <family val="2"/>
        <scheme val="minor"/>
      </rPr>
      <t>Set dynamic chart title</t>
    </r>
    <r>
      <rPr>
        <sz val="11"/>
        <color theme="1"/>
        <rFont val="Calibri"/>
        <family val="2"/>
        <scheme val="minor"/>
      </rPr>
      <t xml:space="preserve">
Click chart title -&gt; go to formular bar -&gt; enter the reference cell for chart title.</t>
    </r>
  </si>
  <si>
    <t>2. Using legends, labels and chart titles and axis titles to make sure the charts are self-explatory</t>
  </si>
  <si>
    <r>
      <rPr>
        <b/>
        <sz val="11"/>
        <color theme="1"/>
        <rFont val="Calibri"/>
        <family val="2"/>
        <scheme val="minor"/>
      </rPr>
      <t>Highlight the dominate message in chart title</t>
    </r>
    <r>
      <rPr>
        <sz val="11"/>
        <color theme="1"/>
        <rFont val="Calibri"/>
        <family val="2"/>
        <scheme val="minor"/>
      </rPr>
      <t xml:space="preserve">
Select the words in title and using the same color as the legend to highlight the key information</t>
    </r>
  </si>
  <si>
    <r>
      <rPr>
        <b/>
        <sz val="11"/>
        <color theme="1"/>
        <rFont val="Calibri"/>
        <family val="2"/>
        <scheme val="minor"/>
      </rPr>
      <t>Highlight the key data point</t>
    </r>
    <r>
      <rPr>
        <sz val="11"/>
        <color theme="1"/>
        <rFont val="Calibri"/>
        <family val="2"/>
        <scheme val="minor"/>
      </rPr>
      <t xml:space="preserve">
Using color to highlight the key data points in the chart, like increasing, decreasing, etc.</t>
    </r>
  </si>
  <si>
    <t>Sales have been dropping for the last two 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</si>
</sst>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_-[$$-409]* #,##0_ ;_-[$$-409]* \-#,##0\ ;_-[$$-409]* &quot;-&quot;??_ ;_-@_ 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29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2" fillId="0" borderId="0" xfId="0" applyFont="1" applyFill="1" applyAlignment="1">
      <alignment wrapText="1"/>
    </xf>
    <xf numFmtId="0" fontId="2" fillId="0" borderId="0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7" xfId="0" applyNumberFormat="1" applyBorder="1"/>
    <xf numFmtId="14" fontId="0" fillId="0" borderId="4" xfId="0" applyNumberFormat="1" applyBorder="1"/>
    <xf numFmtId="14" fontId="0" fillId="0" borderId="5" xfId="0" applyNumberFormat="1" applyBorder="1"/>
    <xf numFmtId="14" fontId="0" fillId="0" borderId="6" xfId="0" applyNumberFormat="1" applyBorder="1"/>
    <xf numFmtId="14" fontId="0" fillId="0" borderId="8" xfId="0" applyNumberFormat="1" applyBorder="1"/>
    <xf numFmtId="164" fontId="3" fillId="0" borderId="0" xfId="1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0" fontId="2" fillId="2" borderId="3" xfId="0" applyFont="1" applyFill="1" applyBorder="1"/>
    <xf numFmtId="14" fontId="2" fillId="2" borderId="1" xfId="0" applyNumberFormat="1" applyFont="1" applyFill="1" applyBorder="1"/>
    <xf numFmtId="2" fontId="0" fillId="0" borderId="0" xfId="0" applyNumberFormat="1" applyBorder="1"/>
    <xf numFmtId="0" fontId="2" fillId="2" borderId="0" xfId="0" applyFont="1" applyFill="1" applyBorder="1"/>
    <xf numFmtId="0" fontId="2" fillId="2" borderId="5" xfId="0" applyFont="1" applyFill="1" applyBorder="1"/>
    <xf numFmtId="0" fontId="0" fillId="0" borderId="5" xfId="0" applyBorder="1" applyAlignment="1">
      <alignment horizontal="center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4" fontId="3" fillId="0" borderId="0" xfId="1" applyNumberFormat="1" applyFont="1" applyBorder="1"/>
    <xf numFmtId="0" fontId="2" fillId="0" borderId="4" xfId="0" applyFont="1" applyBorder="1"/>
    <xf numFmtId="2" fontId="0" fillId="0" borderId="0" xfId="0" applyNumberFormat="1"/>
    <xf numFmtId="0" fontId="2" fillId="2" borderId="3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14" fontId="2" fillId="2" borderId="0" xfId="0" applyNumberFormat="1" applyFont="1" applyFill="1" applyBorder="1"/>
    <xf numFmtId="0" fontId="2" fillId="2" borderId="0" xfId="0" applyFont="1" applyFill="1"/>
    <xf numFmtId="0" fontId="0" fillId="0" borderId="0" xfId="0" quotePrefix="1" applyAlignment="1">
      <alignment horizontal="left" vertical="top"/>
    </xf>
    <xf numFmtId="0" fontId="8" fillId="0" borderId="0" xfId="0" applyFont="1"/>
    <xf numFmtId="0" fontId="9" fillId="0" borderId="0" xfId="0" applyFont="1"/>
    <xf numFmtId="0" fontId="0" fillId="0" borderId="0" xfId="0" applyNumberFormat="1"/>
    <xf numFmtId="0" fontId="2" fillId="2" borderId="10" xfId="0" applyFont="1" applyFill="1" applyBorder="1"/>
    <xf numFmtId="0" fontId="0" fillId="0" borderId="11" xfId="0" applyBorder="1"/>
    <xf numFmtId="0" fontId="0" fillId="0" borderId="12" xfId="0" applyBorder="1"/>
    <xf numFmtId="14" fontId="0" fillId="0" borderId="11" xfId="0" applyNumberFormat="1" applyBorder="1"/>
    <xf numFmtId="14" fontId="0" fillId="0" borderId="12" xfId="0" applyNumberFormat="1" applyBorder="1"/>
    <xf numFmtId="0" fontId="2" fillId="2" borderId="11" xfId="0" applyFont="1" applyFill="1" applyBorder="1"/>
    <xf numFmtId="0" fontId="0" fillId="0" borderId="11" xfId="0" applyNumberFormat="1" applyBorder="1"/>
    <xf numFmtId="0" fontId="7" fillId="0" borderId="0" xfId="0" applyFont="1" applyFill="1" applyBorder="1" applyAlignment="1">
      <alignment vertical="top"/>
    </xf>
    <xf numFmtId="0" fontId="0" fillId="0" borderId="0" xfId="0" applyAlignment="1">
      <alignment vertical="center"/>
    </xf>
    <xf numFmtId="0" fontId="7" fillId="0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3" fontId="0" fillId="0" borderId="21" xfId="0" applyNumberFormat="1" applyBorder="1"/>
    <xf numFmtId="164" fontId="3" fillId="0" borderId="0" xfId="1" applyNumberFormat="1" applyFont="1" applyBorder="1" applyAlignment="1">
      <alignment vertical="top"/>
    </xf>
    <xf numFmtId="2" fontId="0" fillId="0" borderId="0" xfId="0" applyNumberForma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4" xfId="0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Font="1" applyAlignment="1">
      <alignment vertical="top"/>
    </xf>
    <xf numFmtId="0" fontId="7" fillId="4" borderId="13" xfId="0" applyFont="1" applyFill="1" applyBorder="1" applyAlignment="1">
      <alignment vertical="top"/>
    </xf>
    <xf numFmtId="0" fontId="7" fillId="4" borderId="14" xfId="0" applyFont="1" applyFill="1" applyBorder="1" applyAlignment="1">
      <alignment vertical="top"/>
    </xf>
    <xf numFmtId="0" fontId="7" fillId="4" borderId="15" xfId="0" applyFont="1" applyFill="1" applyBorder="1" applyAlignment="1">
      <alignment vertical="top"/>
    </xf>
    <xf numFmtId="0" fontId="2" fillId="4" borderId="9" xfId="0" applyFont="1" applyFill="1" applyBorder="1"/>
    <xf numFmtId="0" fontId="5" fillId="0" borderId="11" xfId="0" applyFont="1" applyBorder="1"/>
    <xf numFmtId="0" fontId="5" fillId="3" borderId="9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49" fontId="5" fillId="0" borderId="9" xfId="0" applyNumberFormat="1" applyFont="1" applyBorder="1"/>
    <xf numFmtId="49" fontId="10" fillId="0" borderId="12" xfId="2" applyNumberFormat="1" applyFont="1" applyBorder="1"/>
    <xf numFmtId="0" fontId="5" fillId="3" borderId="12" xfId="0" applyFont="1" applyFill="1" applyBorder="1"/>
    <xf numFmtId="0" fontId="5" fillId="3" borderId="9" xfId="0" applyFont="1" applyFill="1" applyBorder="1"/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0" borderId="6" xfId="0" applyBorder="1" applyAlignment="1">
      <alignment horizontal="left"/>
    </xf>
    <xf numFmtId="0" fontId="2" fillId="0" borderId="5" xfId="0" applyFont="1" applyFill="1" applyBorder="1"/>
    <xf numFmtId="0" fontId="2" fillId="0" borderId="5" xfId="0" applyFont="1" applyBorder="1"/>
    <xf numFmtId="0" fontId="0" fillId="0" borderId="0" xfId="0" pivotButton="1"/>
    <xf numFmtId="0" fontId="5" fillId="3" borderId="9" xfId="0" applyFont="1" applyFill="1" applyBorder="1" applyAlignment="1">
      <alignment vertical="top" wrapText="1"/>
    </xf>
    <xf numFmtId="0" fontId="5" fillId="3" borderId="9" xfId="0" applyFont="1" applyFill="1" applyBorder="1" applyAlignment="1">
      <alignment horizontal="left" vertical="top" wrapText="1"/>
    </xf>
    <xf numFmtId="0" fontId="0" fillId="0" borderId="0" xfId="0" applyAlignment="1"/>
    <xf numFmtId="164" fontId="0" fillId="0" borderId="0" xfId="0" applyNumberFormat="1"/>
    <xf numFmtId="9" fontId="0" fillId="0" borderId="0" xfId="3" applyFont="1" applyBorder="1"/>
    <xf numFmtId="165" fontId="0" fillId="0" borderId="0" xfId="1" applyNumberFormat="1" applyFont="1" applyBorder="1"/>
    <xf numFmtId="164" fontId="4" fillId="6" borderId="0" xfId="1" applyNumberFormat="1" applyFont="1" applyFill="1" applyBorder="1"/>
    <xf numFmtId="2" fontId="2" fillId="6" borderId="0" xfId="0" applyNumberFormat="1" applyFont="1" applyFill="1" applyBorder="1"/>
    <xf numFmtId="2" fontId="0" fillId="6" borderId="0" xfId="0" applyNumberFormat="1" applyFont="1" applyFill="1" applyBorder="1"/>
    <xf numFmtId="0" fontId="2" fillId="6" borderId="0" xfId="0" applyFont="1" applyFill="1" applyBorder="1"/>
    <xf numFmtId="14" fontId="2" fillId="6" borderId="0" xfId="0" applyNumberFormat="1" applyFont="1" applyFill="1" applyBorder="1"/>
    <xf numFmtId="49" fontId="0" fillId="6" borderId="0" xfId="0" applyNumberFormat="1" applyFill="1"/>
    <xf numFmtId="164" fontId="3" fillId="6" borderId="0" xfId="1" applyNumberFormat="1" applyFont="1" applyFill="1"/>
    <xf numFmtId="0" fontId="0" fillId="6" borderId="0" xfId="0" applyFill="1"/>
    <xf numFmtId="165" fontId="0" fillId="0" borderId="0" xfId="0" applyNumberFormat="1"/>
    <xf numFmtId="0" fontId="2" fillId="7" borderId="22" xfId="0" applyFont="1" applyFill="1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0" xfId="0" applyAlignment="1">
      <alignment horizontal="left" indent="1"/>
    </xf>
    <xf numFmtId="165" fontId="0" fillId="8" borderId="0" xfId="0" applyNumberFormat="1" applyFill="1"/>
    <xf numFmtId="165" fontId="0" fillId="5" borderId="31" xfId="0" applyNumberFormat="1" applyFill="1" applyBorder="1"/>
    <xf numFmtId="165" fontId="0" fillId="0" borderId="0" xfId="0" applyNumberFormat="1" applyBorder="1"/>
    <xf numFmtId="0" fontId="2" fillId="3" borderId="10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left" vertical="top"/>
    </xf>
    <xf numFmtId="0" fontId="4" fillId="4" borderId="12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center" vertical="top" wrapText="1"/>
    </xf>
    <xf numFmtId="0" fontId="5" fillId="3" borderId="12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4" borderId="6" xfId="0" applyFont="1" applyFill="1" applyBorder="1" applyAlignment="1">
      <alignment vertical="top"/>
    </xf>
    <xf numFmtId="0" fontId="4" fillId="4" borderId="7" xfId="0" applyFont="1" applyFill="1" applyBorder="1" applyAlignment="1">
      <alignment vertical="top"/>
    </xf>
    <xf numFmtId="0" fontId="4" fillId="4" borderId="8" xfId="0" applyFont="1" applyFill="1" applyBorder="1" applyAlignment="1">
      <alignment vertical="top"/>
    </xf>
    <xf numFmtId="0" fontId="4" fillId="4" borderId="11" xfId="0" applyFont="1" applyFill="1" applyBorder="1" applyAlignment="1">
      <alignment horizontal="left" vertical="top"/>
    </xf>
    <xf numFmtId="0" fontId="2" fillId="3" borderId="10" xfId="0" applyFont="1" applyFill="1" applyBorder="1" applyAlignment="1">
      <alignment horizontal="left" vertical="top" wrapText="1"/>
    </xf>
    <xf numFmtId="0" fontId="2" fillId="3" borderId="11" xfId="0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left" vertical="top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4" fillId="4" borderId="1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top"/>
    </xf>
    <xf numFmtId="0" fontId="4" fillId="4" borderId="0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0" borderId="11" xfId="0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7" fillId="4" borderId="3" xfId="0" applyFont="1" applyFill="1" applyBorder="1" applyAlignment="1">
      <alignment horizontal="left" vertical="top"/>
    </xf>
    <xf numFmtId="0" fontId="7" fillId="4" borderId="6" xfId="0" applyFont="1" applyFill="1" applyBorder="1" applyAlignment="1">
      <alignment horizontal="left" vertical="top"/>
    </xf>
    <xf numFmtId="0" fontId="7" fillId="4" borderId="7" xfId="0" applyFont="1" applyFill="1" applyBorder="1" applyAlignment="1">
      <alignment horizontal="left" vertical="top"/>
    </xf>
    <xf numFmtId="0" fontId="7" fillId="4" borderId="8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15" xfId="0" applyFont="1" applyFill="1" applyBorder="1" applyAlignment="1">
      <alignment horizontal="left" vertical="top" wrapText="1"/>
    </xf>
    <xf numFmtId="0" fontId="7" fillId="4" borderId="1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2" fillId="4" borderId="13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5" borderId="28" xfId="0" applyFont="1" applyFill="1" applyBorder="1" applyAlignment="1">
      <alignment horizontal="left"/>
    </xf>
    <xf numFmtId="0" fontId="4" fillId="5" borderId="29" xfId="0" applyFont="1" applyFill="1" applyBorder="1" applyAlignment="1">
      <alignment horizontal="left"/>
    </xf>
    <xf numFmtId="0" fontId="4" fillId="5" borderId="30" xfId="0" applyFont="1" applyFill="1" applyBorder="1" applyAlignment="1">
      <alignment horizontal="left"/>
    </xf>
    <xf numFmtId="0" fontId="3" fillId="5" borderId="23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3" fillId="5" borderId="24" xfId="0" applyFont="1" applyFill="1" applyBorder="1" applyAlignment="1">
      <alignment horizontal="left"/>
    </xf>
    <xf numFmtId="0" fontId="0" fillId="5" borderId="23" xfId="0" applyFill="1" applyBorder="1" applyAlignment="1">
      <alignment horizontal="left" wrapText="1"/>
    </xf>
    <xf numFmtId="0" fontId="0" fillId="5" borderId="0" xfId="0" applyFill="1" applyBorder="1" applyAlignment="1">
      <alignment horizontal="left" wrapText="1"/>
    </xf>
    <xf numFmtId="0" fontId="0" fillId="5" borderId="24" xfId="0" applyFill="1" applyBorder="1" applyAlignment="1">
      <alignment horizontal="left" wrapText="1"/>
    </xf>
    <xf numFmtId="0" fontId="0" fillId="5" borderId="23" xfId="0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5" borderId="24" xfId="0" applyFill="1" applyBorder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26" xfId="0" applyFill="1" applyBorder="1" applyAlignment="1">
      <alignment horizontal="left"/>
    </xf>
    <xf numFmtId="0" fontId="0" fillId="5" borderId="27" xfId="0" applyFill="1" applyBorder="1" applyAlignment="1">
      <alignment horizontal="left"/>
    </xf>
    <xf numFmtId="0" fontId="4" fillId="0" borderId="0" xfId="0" applyFont="1" applyAlignment="1">
      <alignment horizontal="left" vertical="top"/>
    </xf>
    <xf numFmtId="0" fontId="0" fillId="5" borderId="28" xfId="0" applyFill="1" applyBorder="1" applyAlignment="1">
      <alignment horizontal="left" vertical="top" wrapText="1"/>
    </xf>
    <xf numFmtId="0" fontId="0" fillId="5" borderId="30" xfId="0" applyFill="1" applyBorder="1" applyAlignment="1">
      <alignment horizontal="left" vertical="top"/>
    </xf>
    <xf numFmtId="0" fontId="0" fillId="5" borderId="23" xfId="0" applyFill="1" applyBorder="1" applyAlignment="1">
      <alignment horizontal="left" vertical="top"/>
    </xf>
    <xf numFmtId="0" fontId="0" fillId="5" borderId="24" xfId="0" applyFill="1" applyBorder="1" applyAlignment="1">
      <alignment horizontal="left" vertical="top"/>
    </xf>
    <xf numFmtId="0" fontId="0" fillId="5" borderId="25" xfId="0" applyFill="1" applyBorder="1" applyAlignment="1">
      <alignment horizontal="left" vertical="top"/>
    </xf>
    <xf numFmtId="0" fontId="0" fillId="5" borderId="27" xfId="0" applyFill="1" applyBorder="1" applyAlignment="1">
      <alignment horizontal="left" vertical="top"/>
    </xf>
    <xf numFmtId="0" fontId="0" fillId="5" borderId="30" xfId="0" applyFill="1" applyBorder="1" applyAlignment="1">
      <alignment horizontal="left" vertical="top" wrapText="1"/>
    </xf>
    <xf numFmtId="0" fontId="0" fillId="5" borderId="23" xfId="0" applyFill="1" applyBorder="1" applyAlignment="1">
      <alignment horizontal="left" vertical="top" wrapText="1"/>
    </xf>
    <xf numFmtId="0" fontId="0" fillId="5" borderId="24" xfId="0" applyFill="1" applyBorder="1" applyAlignment="1">
      <alignment horizontal="left" vertical="top" wrapText="1"/>
    </xf>
    <xf numFmtId="0" fontId="0" fillId="5" borderId="25" xfId="0" applyFill="1" applyBorder="1" applyAlignment="1">
      <alignment horizontal="left" vertical="top" wrapText="1"/>
    </xf>
    <xf numFmtId="0" fontId="0" fillId="5" borderId="27" xfId="0" applyFill="1" applyBorder="1" applyAlignment="1">
      <alignment horizontal="left" vertical="top" wrapText="1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49" fontId="0" fillId="5" borderId="28" xfId="0" applyNumberFormat="1" applyFill="1" applyBorder="1" applyAlignment="1">
      <alignment horizontal="left" vertical="top" wrapText="1"/>
    </xf>
    <xf numFmtId="49" fontId="0" fillId="5" borderId="30" xfId="0" applyNumberFormat="1" applyFill="1" applyBorder="1" applyAlignment="1">
      <alignment horizontal="left" vertical="top" wrapText="1"/>
    </xf>
    <xf numFmtId="49" fontId="0" fillId="5" borderId="23" xfId="0" applyNumberFormat="1" applyFill="1" applyBorder="1" applyAlignment="1">
      <alignment horizontal="left" vertical="top" wrapText="1"/>
    </xf>
    <xf numFmtId="49" fontId="0" fillId="5" borderId="24" xfId="0" applyNumberFormat="1" applyFill="1" applyBorder="1" applyAlignment="1">
      <alignment horizontal="left" vertical="top" wrapText="1"/>
    </xf>
    <xf numFmtId="49" fontId="0" fillId="5" borderId="25" xfId="0" applyNumberFormat="1" applyFill="1" applyBorder="1" applyAlignment="1">
      <alignment horizontal="left" vertical="top" wrapText="1"/>
    </xf>
    <xf numFmtId="49" fontId="0" fillId="5" borderId="27" xfId="0" applyNumberFormat="1" applyFill="1" applyBorder="1" applyAlignment="1">
      <alignment horizontal="left" vertical="top" wrapText="1"/>
    </xf>
    <xf numFmtId="0" fontId="2" fillId="4" borderId="13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2" fillId="4" borderId="14" xfId="0" applyFont="1" applyFill="1" applyBorder="1" applyAlignment="1">
      <alignment horizontal="left"/>
    </xf>
    <xf numFmtId="0" fontId="2" fillId="9" borderId="22" xfId="0" applyFont="1" applyFill="1" applyBorder="1"/>
    <xf numFmtId="166" fontId="0" fillId="0" borderId="0" xfId="0" applyNumberFormat="1"/>
    <xf numFmtId="167" fontId="0" fillId="0" borderId="0" xfId="3" applyNumberFormat="1" applyFont="1"/>
    <xf numFmtId="0" fontId="2" fillId="0" borderId="6" xfId="0" applyFont="1" applyBorder="1" applyAlignment="1">
      <alignment vertical="top" wrapText="1"/>
    </xf>
    <xf numFmtId="0" fontId="0" fillId="0" borderId="8" xfId="0" applyBorder="1" applyAlignment="1">
      <alignment vertical="top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0.0%"/>
    </dxf>
    <dxf>
      <numFmt numFmtId="165" formatCode="&quot;$&quot;#,##0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numFmt numFmtId="165" formatCode="&quot;$&quot;#,##0"/>
    </dxf>
    <dxf>
      <alignment horizontal="left" vertical="bottom" textRotation="0" wrapText="0" indent="1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/>
        </patternFill>
      </fill>
    </dxf>
    <dxf>
      <numFmt numFmtId="165" formatCode="&quot;$&quot;#,##0"/>
    </dxf>
    <dxf>
      <numFmt numFmtId="165" formatCode="&quot;$&quot;#,##0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/>
        </patternFill>
      </fill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</dxf>
    <dxf>
      <numFmt numFmtId="30" formatCode="@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</dxf>
    <dxf>
      <numFmt numFmtId="30" formatCode="@"/>
    </dxf>
    <dxf>
      <fill>
        <patternFill patternType="solid">
          <fgColor indexed="64"/>
          <bgColor theme="8"/>
        </patternFill>
      </fill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9" formatCode="m/d/yyyy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</dxf>
    <dxf>
      <numFmt numFmtId="19" formatCode="m/d/yyyy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colors>
    <mruColors>
      <color rgb="FFA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Visualization!$E$2</c:f>
          <c:strCache>
            <c:ptCount val="1"/>
            <c:pt idx="0">
              <c:v>Sales have been dropping for the last two quarters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Visualization!$F$3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381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0E-4590-82E1-9D9DD3E8BA2B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81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40E-4590-82E1-9D9DD3E8BA2B}"/>
              </c:ext>
            </c:extLst>
          </c:dPt>
          <c:cat>
            <c:strRef>
              <c:f>Visualization!$E$4:$E$11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Visualization!$F$4:$F$11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D-4083-AE4D-3AEFB6876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283328"/>
        <c:axId val="293286240"/>
      </c:lineChart>
      <c:catAx>
        <c:axId val="29328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86240"/>
        <c:crosses val="autoZero"/>
        <c:auto val="1"/>
        <c:lblAlgn val="ctr"/>
        <c:lblOffset val="100"/>
        <c:noMultiLvlLbl val="0"/>
      </c:catAx>
      <c:valAx>
        <c:axId val="2932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8332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0098139906425"/>
          <c:y val="0.18496323924421729"/>
          <c:w val="0.85557293164441406"/>
          <c:h val="0.679208607695967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Visualization!$F$3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&quot;$&quot;#,##0\ 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DA7-48BA-B905-B263741026BD}"/>
                </c:ext>
              </c:extLst>
            </c:dLbl>
            <c:numFmt formatCode="&quot;$&quot;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Visualization!$E$4:$E$11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Visualization!$F$4:$F$11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5B-4CCA-AB79-DAC2DDCF9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273392"/>
        <c:axId val="559275888"/>
      </c:barChart>
      <c:catAx>
        <c:axId val="559273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75888"/>
        <c:crosses val="autoZero"/>
        <c:auto val="1"/>
        <c:lblAlgn val="ctr"/>
        <c:lblOffset val="100"/>
        <c:noMultiLvlLbl val="0"/>
      </c:catAx>
      <c:valAx>
        <c:axId val="5592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7339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Visualization!$N$3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6B-4A25-B68D-83EB95C2DE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36B-4A25-B68D-83EB95C2DE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6B-4A25-B68D-83EB95C2DE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36B-4A25-B68D-83EB95C2DEF9}"/>
              </c:ext>
            </c:extLst>
          </c:dPt>
          <c:dLbls>
            <c:dLbl>
              <c:idx val="0"/>
              <c:layout>
                <c:manualLayout>
                  <c:x val="0.11382113821138211"/>
                  <c:y val="-6.850151585609749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6B-4A25-B68D-83EB95C2DEF9}"/>
                </c:ext>
              </c:extLst>
            </c:dLbl>
            <c:dLbl>
              <c:idx val="1"/>
              <c:layout>
                <c:manualLayout>
                  <c:x val="0.15853658536585366"/>
                  <c:y val="4.4036688764634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6B-4A25-B68D-83EB95C2DEF9}"/>
                </c:ext>
              </c:extLst>
            </c:dLbl>
            <c:dLbl>
              <c:idx val="2"/>
              <c:layout>
                <c:manualLayout>
                  <c:x val="-0.12601626016260162"/>
                  <c:y val="3.914372334634134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6B-4A25-B68D-83EB95C2DEF9}"/>
                </c:ext>
              </c:extLst>
            </c:dLbl>
            <c:dLbl>
              <c:idx val="3"/>
              <c:layout>
                <c:manualLayout>
                  <c:x val="-8.1300813008130079E-2"/>
                  <c:y val="-0.1174311700390242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6B-4A25-B68D-83EB95C2DE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Visualization!$M$4:$M$7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Visualization!$N$4:$N$7</c:f>
              <c:numCache>
                <c:formatCode>"$"#,##0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B-4A25-B68D-83EB95C2D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Visualization!$O$3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01-477A-80D7-4EB88F9D9A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01-477A-80D7-4EB88F9D9A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01-477A-80D7-4EB88F9D9A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01-477A-80D7-4EB88F9D9A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Visualization!$M$4:$M$7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Visualization!$O$4:$O$7</c:f>
              <c:numCache>
                <c:formatCode>"$"#,##0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7-4FF3-898A-61FAF0BBCB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Visualization!$M$2</c:f>
          <c:strCache>
            <c:ptCount val="1"/>
            <c:pt idx="0">
              <c:v>Regional Contribution of Profit and Sales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Visualization!$M$4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Visualization!$P$3:$Q$3</c:f>
              <c:strCache>
                <c:ptCount val="2"/>
                <c:pt idx="0">
                  <c:v>Sales_Percentage</c:v>
                </c:pt>
                <c:pt idx="1">
                  <c:v>Profit_Percentage</c:v>
                </c:pt>
              </c:strCache>
            </c:strRef>
          </c:cat>
          <c:val>
            <c:numRef>
              <c:f>Visualization!$P$4:$Q$4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9-48BA-BBE0-B6241F428F27}"/>
            </c:ext>
          </c:extLst>
        </c:ser>
        <c:ser>
          <c:idx val="1"/>
          <c:order val="1"/>
          <c:tx>
            <c:strRef>
              <c:f>Visualization!$M$5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Visualization!$P$3:$Q$3</c:f>
              <c:strCache>
                <c:ptCount val="2"/>
                <c:pt idx="0">
                  <c:v>Sales_Percentage</c:v>
                </c:pt>
                <c:pt idx="1">
                  <c:v>Profit_Percentage</c:v>
                </c:pt>
              </c:strCache>
            </c:strRef>
          </c:cat>
          <c:val>
            <c:numRef>
              <c:f>Visualization!$P$5:$Q$5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9-48BA-BBE0-B6241F428F27}"/>
            </c:ext>
          </c:extLst>
        </c:ser>
        <c:ser>
          <c:idx val="2"/>
          <c:order val="2"/>
          <c:tx>
            <c:strRef>
              <c:f>Visualization!$M$6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Visualization!$P$3:$Q$3</c:f>
              <c:strCache>
                <c:ptCount val="2"/>
                <c:pt idx="0">
                  <c:v>Sales_Percentage</c:v>
                </c:pt>
                <c:pt idx="1">
                  <c:v>Profit_Percentage</c:v>
                </c:pt>
              </c:strCache>
            </c:strRef>
          </c:cat>
          <c:val>
            <c:numRef>
              <c:f>Visualization!$P$6:$Q$6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B9-48BA-BBE0-B6241F428F27}"/>
            </c:ext>
          </c:extLst>
        </c:ser>
        <c:ser>
          <c:idx val="3"/>
          <c:order val="3"/>
          <c:tx>
            <c:strRef>
              <c:f>Visualization!$M$7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Visualization!$P$3:$Q$3</c:f>
              <c:strCache>
                <c:ptCount val="2"/>
                <c:pt idx="0">
                  <c:v>Sales_Percentage</c:v>
                </c:pt>
                <c:pt idx="1">
                  <c:v>Profit_Percentage</c:v>
                </c:pt>
              </c:strCache>
            </c:strRef>
          </c:cat>
          <c:val>
            <c:numRef>
              <c:f>Visualization!$P$7:$Q$7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B9-48BA-BBE0-B6241F428F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27915727"/>
        <c:axId val="505932943"/>
      </c:barChart>
      <c:catAx>
        <c:axId val="72791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32943"/>
        <c:crosses val="autoZero"/>
        <c:auto val="1"/>
        <c:lblAlgn val="ctr"/>
        <c:lblOffset val="100"/>
        <c:tickLblSkip val="1"/>
        <c:noMultiLvlLbl val="0"/>
      </c:catAx>
      <c:valAx>
        <c:axId val="50593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1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038759689922477"/>
          <c:y val="5.2202274909373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Visualization!$W$3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Visualization!$S$4:$S$13</c:f>
              <c:strCache>
                <c:ptCount val="10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</c:strCache>
            </c:strRef>
          </c:cat>
          <c:val>
            <c:numRef>
              <c:f>Visualization!$W$4:$W$13</c:f>
              <c:numCache>
                <c:formatCode>"$"#,##0</c:formatCode>
                <c:ptCount val="10"/>
                <c:pt idx="0">
                  <c:v>3024.28</c:v>
                </c:pt>
                <c:pt idx="1">
                  <c:v>12486.312000000002</c:v>
                </c:pt>
                <c:pt idx="2">
                  <c:v>16476.402000000002</c:v>
                </c:pt>
                <c:pt idx="3">
                  <c:v>27118.792000000005</c:v>
                </c:pt>
                <c:pt idx="4">
                  <c:v>46673.538</c:v>
                </c:pt>
                <c:pt idx="5">
                  <c:v>78479.205999999875</c:v>
                </c:pt>
                <c:pt idx="6">
                  <c:v>91705.163999999932</c:v>
                </c:pt>
                <c:pt idx="7">
                  <c:v>107532.16100000002</c:v>
                </c:pt>
                <c:pt idx="8">
                  <c:v>114879.9963</c:v>
                </c:pt>
                <c:pt idx="9">
                  <c:v>149528.03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E-4BA0-8FE2-9B426999A3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10735"/>
        <c:axId val="7309487"/>
      </c:barChart>
      <c:catAx>
        <c:axId val="7310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9487"/>
        <c:crosses val="autoZero"/>
        <c:auto val="1"/>
        <c:lblAlgn val="ctr"/>
        <c:lblOffset val="100"/>
        <c:noMultiLvlLbl val="0"/>
      </c:catAx>
      <c:valAx>
        <c:axId val="730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+mn-lt"/>
              </a:rPr>
              <a:t>Sales per Segment and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Visualization!$T$3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Visualization!$S$4:$S$13</c:f>
              <c:strCache>
                <c:ptCount val="10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</c:strCache>
            </c:strRef>
          </c:cat>
          <c:val>
            <c:numRef>
              <c:f>Visualization!$T$4:$T$13</c:f>
              <c:numCache>
                <c:formatCode>"$"#,##0</c:formatCode>
                <c:ptCount val="10"/>
                <c:pt idx="0">
                  <c:v>1680.9420000000002</c:v>
                </c:pt>
                <c:pt idx="1">
                  <c:v>6709.2620000000006</c:v>
                </c:pt>
                <c:pt idx="2">
                  <c:v>7771.1460000000015</c:v>
                </c:pt>
                <c:pt idx="3">
                  <c:v>14251.930000000002</c:v>
                </c:pt>
                <c:pt idx="4">
                  <c:v>25741.495999999996</c:v>
                </c:pt>
                <c:pt idx="5">
                  <c:v>36324.367999999915</c:v>
                </c:pt>
                <c:pt idx="6">
                  <c:v>49620.045999999951</c:v>
                </c:pt>
                <c:pt idx="7">
                  <c:v>52819.581000000035</c:v>
                </c:pt>
                <c:pt idx="8">
                  <c:v>68632.729000000007</c:v>
                </c:pt>
                <c:pt idx="9">
                  <c:v>69819.069999999992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E-424C-92CF-125BC617092E}"/>
            </c:ext>
          </c:extLst>
        </c:ser>
        <c:ser>
          <c:idx val="1"/>
          <c:order val="1"/>
          <c:tx>
            <c:strRef>
              <c:f>Visualization!$U$3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Visualization!$S$4:$S$13</c:f>
              <c:strCache>
                <c:ptCount val="10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</c:strCache>
            </c:strRef>
          </c:cat>
          <c:val>
            <c:numRef>
              <c:f>Visualization!$U$4:$U$13</c:f>
              <c:numCache>
                <c:formatCode>"$"#,##0</c:formatCode>
                <c:ptCount val="10"/>
                <c:pt idx="0">
                  <c:v>783.29</c:v>
                </c:pt>
                <c:pt idx="1">
                  <c:v>4101.6460000000006</c:v>
                </c:pt>
                <c:pt idx="2">
                  <c:v>5942.67</c:v>
                </c:pt>
                <c:pt idx="3">
                  <c:v>8590.4480000000021</c:v>
                </c:pt>
                <c:pt idx="4">
                  <c:v>19435.284000000007</c:v>
                </c:pt>
                <c:pt idx="5">
                  <c:v>23883.129999999976</c:v>
                </c:pt>
                <c:pt idx="6">
                  <c:v>25001.266000000003</c:v>
                </c:pt>
                <c:pt idx="7">
                  <c:v>36588.682999999983</c:v>
                </c:pt>
                <c:pt idx="8">
                  <c:v>34005.924299999991</c:v>
                </c:pt>
                <c:pt idx="9">
                  <c:v>46829.385999999999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E-424C-92CF-125BC617092E}"/>
            </c:ext>
          </c:extLst>
        </c:ser>
        <c:ser>
          <c:idx val="2"/>
          <c:order val="2"/>
          <c:tx>
            <c:strRef>
              <c:f>Visualization!$V$3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Visualization!$S$4:$S$13</c:f>
              <c:strCache>
                <c:ptCount val="10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</c:strCache>
            </c:strRef>
          </c:cat>
          <c:val>
            <c:numRef>
              <c:f>Visualization!$V$4:$V$13</c:f>
              <c:numCache>
                <c:formatCode>"$"#,##0</c:formatCode>
                <c:ptCount val="10"/>
                <c:pt idx="0">
                  <c:v>560.04800000000012</c:v>
                </c:pt>
                <c:pt idx="1">
                  <c:v>1675.4039999999998</c:v>
                </c:pt>
                <c:pt idx="2">
                  <c:v>2762.5860000000002</c:v>
                </c:pt>
                <c:pt idx="3">
                  <c:v>4276.4139999999998</c:v>
                </c:pt>
                <c:pt idx="4">
                  <c:v>1496.7579999999996</c:v>
                </c:pt>
                <c:pt idx="5">
                  <c:v>18271.707999999984</c:v>
                </c:pt>
                <c:pt idx="6">
                  <c:v>17083.851999999988</c:v>
                </c:pt>
                <c:pt idx="7">
                  <c:v>18123.896999999994</c:v>
                </c:pt>
                <c:pt idx="8">
                  <c:v>12241.342999999995</c:v>
                </c:pt>
                <c:pt idx="9">
                  <c:v>32879.574000000008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0E-424C-92CF-125BC6170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859183"/>
        <c:axId val="734860015"/>
      </c:barChart>
      <c:catAx>
        <c:axId val="73485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60015"/>
        <c:crosses val="autoZero"/>
        <c:auto val="1"/>
        <c:lblAlgn val="ctr"/>
        <c:lblOffset val="100"/>
        <c:noMultiLvlLbl val="0"/>
      </c:catAx>
      <c:valAx>
        <c:axId val="73486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59183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+mn-lt"/>
              </a:rPr>
              <a:t>Contribution of Quarterly 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Visualization!$Z$3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Visualization!$Y$4:$Y$19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Visualization!$Z$4:$Z$19</c:f>
              <c:numCache>
                <c:formatCode>"$"#,##0</c:formatCode>
                <c:ptCount val="16"/>
                <c:pt idx="0">
                  <c:v>8600.6820000000025</c:v>
                </c:pt>
                <c:pt idx="1">
                  <c:v>17407.144600000003</c:v>
                </c:pt>
                <c:pt idx="2">
                  <c:v>44171.446800000005</c:v>
                </c:pt>
                <c:pt idx="3">
                  <c:v>33658.891199999998</c:v>
                </c:pt>
                <c:pt idx="4">
                  <c:v>11768.365599999997</c:v>
                </c:pt>
                <c:pt idx="5">
                  <c:v>23979.145000000004</c:v>
                </c:pt>
                <c:pt idx="6">
                  <c:v>24485.538200000006</c:v>
                </c:pt>
                <c:pt idx="7">
                  <c:v>42641.173199999997</c:v>
                </c:pt>
                <c:pt idx="8">
                  <c:v>20211.696999999993</c:v>
                </c:pt>
                <c:pt idx="9">
                  <c:v>25759.464999999993</c:v>
                </c:pt>
                <c:pt idx="10">
                  <c:v>33380.224200000004</c:v>
                </c:pt>
                <c:pt idx="11">
                  <c:v>68077.989800000025</c:v>
                </c:pt>
                <c:pt idx="12">
                  <c:v>40530.057199999988</c:v>
                </c:pt>
                <c:pt idx="13">
                  <c:v>27938.738999999994</c:v>
                </c:pt>
                <c:pt idx="14">
                  <c:v>32468.946999999986</c:v>
                </c:pt>
                <c:pt idx="15">
                  <c:v>46160.385000000038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4-4431-ADF4-6451816F7A06}"/>
            </c:ext>
          </c:extLst>
        </c:ser>
        <c:ser>
          <c:idx val="1"/>
          <c:order val="1"/>
          <c:tx>
            <c:strRef>
              <c:f>Visualization!$AA$3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Visualization!$Y$4:$Y$19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Visualization!$AA$4:$AA$19</c:f>
              <c:numCache>
                <c:formatCode>"$"#,##0</c:formatCode>
                <c:ptCount val="16"/>
                <c:pt idx="0">
                  <c:v>6579.337999999997</c:v>
                </c:pt>
                <c:pt idx="1">
                  <c:v>20782.792999999994</c:v>
                </c:pt>
                <c:pt idx="2">
                  <c:v>33443.382999999994</c:v>
                </c:pt>
                <c:pt idx="3">
                  <c:v>67593.57100000004</c:v>
                </c:pt>
                <c:pt idx="4">
                  <c:v>17145.867999999995</c:v>
                </c:pt>
                <c:pt idx="5">
                  <c:v>22703.207999999995</c:v>
                </c:pt>
                <c:pt idx="6">
                  <c:v>50777.423000000017</c:v>
                </c:pt>
                <c:pt idx="7">
                  <c:v>65705.558000000034</c:v>
                </c:pt>
                <c:pt idx="8">
                  <c:v>24774.764999999999</c:v>
                </c:pt>
                <c:pt idx="9">
                  <c:v>52166.656999999956</c:v>
                </c:pt>
                <c:pt idx="10">
                  <c:v>38051.645999999972</c:v>
                </c:pt>
                <c:pt idx="11">
                  <c:v>65692.753999999986</c:v>
                </c:pt>
                <c:pt idx="12">
                  <c:v>18051.761999999992</c:v>
                </c:pt>
                <c:pt idx="13">
                  <c:v>31511.500000000004</c:v>
                </c:pt>
                <c:pt idx="14">
                  <c:v>65496.387000000039</c:v>
                </c:pt>
                <c:pt idx="15">
                  <c:v>98023.255000000048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4-4431-ADF4-6451816F7A06}"/>
            </c:ext>
          </c:extLst>
        </c:ser>
        <c:ser>
          <c:idx val="2"/>
          <c:order val="2"/>
          <c:tx>
            <c:strRef>
              <c:f>Visualization!$AB$3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Visualization!$Y$4:$Y$19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Visualization!$AB$4:$AB$19</c:f>
              <c:numCache>
                <c:formatCode>"$"#,##0</c:formatCode>
                <c:ptCount val="16"/>
                <c:pt idx="0">
                  <c:v>44262.199000000001</c:v>
                </c:pt>
                <c:pt idx="1">
                  <c:v>22524.102999999996</c:v>
                </c:pt>
                <c:pt idx="2">
                  <c:v>16061.061499999996</c:v>
                </c:pt>
                <c:pt idx="3">
                  <c:v>20998.480000000007</c:v>
                </c:pt>
                <c:pt idx="4">
                  <c:v>16444.442999999992</c:v>
                </c:pt>
                <c:pt idx="5">
                  <c:v>16254.204500000002</c:v>
                </c:pt>
                <c:pt idx="6">
                  <c:v>21459.504999999994</c:v>
                </c:pt>
                <c:pt idx="7">
                  <c:v>17201.828000000005</c:v>
                </c:pt>
                <c:pt idx="8">
                  <c:v>23933.704000000002</c:v>
                </c:pt>
                <c:pt idx="9">
                  <c:v>18381.827999999994</c:v>
                </c:pt>
                <c:pt idx="10">
                  <c:v>21635.880499999996</c:v>
                </c:pt>
                <c:pt idx="11">
                  <c:v>29658.810999999987</c:v>
                </c:pt>
                <c:pt idx="12">
                  <c:v>13642.182000000001</c:v>
                </c:pt>
                <c:pt idx="13">
                  <c:v>29325.41450000001</c:v>
                </c:pt>
                <c:pt idx="14">
                  <c:v>23874.151999999987</c:v>
                </c:pt>
                <c:pt idx="15">
                  <c:v>56064.10899999996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E4-4431-ADF4-6451816F7A06}"/>
            </c:ext>
          </c:extLst>
        </c:ser>
        <c:ser>
          <c:idx val="3"/>
          <c:order val="3"/>
          <c:tx>
            <c:strRef>
              <c:f>Visualization!$AC$3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Visualization!$Y$4:$Y$19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Visualization!$AC$4:$AC$19</c:f>
              <c:numCache>
                <c:formatCode>"$"#,##0</c:formatCode>
                <c:ptCount val="16"/>
                <c:pt idx="0">
                  <c:v>15005.576999999996</c:v>
                </c:pt>
                <c:pt idx="1">
                  <c:v>25543.346999999991</c:v>
                </c:pt>
                <c:pt idx="2">
                  <c:v>49957.320999999989</c:v>
                </c:pt>
                <c:pt idx="3">
                  <c:v>57376.78800000003</c:v>
                </c:pt>
                <c:pt idx="4">
                  <c:v>23493.062000000005</c:v>
                </c:pt>
                <c:pt idx="5">
                  <c:v>26187.629499999988</c:v>
                </c:pt>
                <c:pt idx="6">
                  <c:v>33537.108999999975</c:v>
                </c:pt>
                <c:pt idx="7">
                  <c:v>56748.449000000022</c:v>
                </c:pt>
                <c:pt idx="8">
                  <c:v>24317.014999999999</c:v>
                </c:pt>
                <c:pt idx="9">
                  <c:v>39774.350999999995</c:v>
                </c:pt>
                <c:pt idx="10">
                  <c:v>50719.611499999992</c:v>
                </c:pt>
                <c:pt idx="11">
                  <c:v>72669.198999999993</c:v>
                </c:pt>
                <c:pt idx="12">
                  <c:v>50920.858999999989</c:v>
                </c:pt>
                <c:pt idx="13">
                  <c:v>44988.718499999974</c:v>
                </c:pt>
                <c:pt idx="14">
                  <c:v>74412.469999999958</c:v>
                </c:pt>
                <c:pt idx="15">
                  <c:v>79806.318000000014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E4-4431-ADF4-6451816F7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315232"/>
        <c:axId val="555299008"/>
      </c:areaChart>
      <c:catAx>
        <c:axId val="55531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99008"/>
        <c:crosses val="autoZero"/>
        <c:auto val="1"/>
        <c:lblAlgn val="ctr"/>
        <c:lblOffset val="100"/>
        <c:noMultiLvlLbl val="0"/>
      </c:catAx>
      <c:valAx>
        <c:axId val="55529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1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+mn-lt"/>
              </a:rPr>
              <a:t>2018 Sales versus 2014-2019</a:t>
            </a:r>
            <a:r>
              <a:rPr lang="en-US" baseline="0">
                <a:solidFill>
                  <a:sysClr val="windowText" lastClr="000000"/>
                </a:solidFill>
                <a:latin typeface="+mn-lt"/>
              </a:rPr>
              <a:t> Average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Visualization!$AH$3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889-4EAF-AD81-ACDFC96A9BCA}"/>
              </c:ext>
            </c:extLst>
          </c:dPt>
          <c:cat>
            <c:strRef>
              <c:f>Visualization!$AF$4:$AF$14</c:f>
              <c:strCache>
                <c:ptCount val="11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</c:strCache>
            </c:strRef>
          </c:cat>
          <c:val>
            <c:numRef>
              <c:f>Visualization!$AH$4:$AH$14</c:f>
              <c:numCache>
                <c:formatCode>"$"#,##0</c:formatCode>
                <c:ptCount val="11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9-4EAF-AD81-ACDFC96A9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575731248"/>
        <c:axId val="575728752"/>
      </c:barChart>
      <c:barChart>
        <c:barDir val="bar"/>
        <c:grouping val="clustered"/>
        <c:varyColors val="0"/>
        <c:ser>
          <c:idx val="0"/>
          <c:order val="0"/>
          <c:tx>
            <c:strRef>
              <c:f>Visualization!$AG$3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889-4EAF-AD81-ACDFC96A9BCA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889-4EAF-AD81-ACDFC96A9BCA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889-4EAF-AD81-ACDFC96A9BCA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889-4EAF-AD81-ACDFC96A9BCA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889-4EAF-AD81-ACDFC96A9BCA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889-4EAF-AD81-ACDFC96A9BCA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0889-4EAF-AD81-ACDFC96A9BCA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889-4EAF-AD81-ACDFC96A9BCA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889-4EAF-AD81-ACDFC96A9BCA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89-4EAF-AD81-ACDFC96A9BCA}"/>
              </c:ext>
            </c:extLst>
          </c:dPt>
          <c:cat>
            <c:strRef>
              <c:f>Visualization!$AF$4:$AF$14</c:f>
              <c:strCache>
                <c:ptCount val="11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</c:strCache>
            </c:strRef>
          </c:cat>
          <c:val>
            <c:numRef>
              <c:f>Visualization!$AG$4:$AG$14</c:f>
              <c:numCache>
                <c:formatCode>"$"#,##0</c:formatCode>
                <c:ptCount val="11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9-4EAF-AD81-ACDFC96A9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77506784"/>
        <c:axId val="577517184"/>
      </c:barChart>
      <c:catAx>
        <c:axId val="57573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728752"/>
        <c:crosses val="autoZero"/>
        <c:auto val="1"/>
        <c:lblAlgn val="ctr"/>
        <c:lblOffset val="100"/>
        <c:noMultiLvlLbl val="0"/>
      </c:catAx>
      <c:valAx>
        <c:axId val="575728752"/>
        <c:scaling>
          <c:orientation val="minMax"/>
          <c:max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731248"/>
        <c:crosses val="autoZero"/>
        <c:crossBetween val="between"/>
      </c:valAx>
      <c:valAx>
        <c:axId val="577517184"/>
        <c:scaling>
          <c:orientation val="minMax"/>
        </c:scaling>
        <c:delete val="0"/>
        <c:axPos val="t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506784"/>
        <c:crosses val="max"/>
        <c:crossBetween val="between"/>
      </c:valAx>
      <c:catAx>
        <c:axId val="5775067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77517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+mn-lt"/>
              </a:rPr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Visualization!$AP$4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Visualization!$AR$4</c:f>
              <c:numCache>
                <c:formatCode>0.0%</c:formatCode>
                <c:ptCount val="1"/>
                <c:pt idx="0">
                  <c:v>7.9216285911775486E-2</c:v>
                </c:pt>
              </c:numCache>
            </c:numRef>
          </c:xVal>
          <c:yVal>
            <c:numRef>
              <c:f>Visualization!$AQ$4</c:f>
              <c:numCache>
                <c:formatCode>0.0%</c:formatCode>
                <c:ptCount val="1"/>
                <c:pt idx="0">
                  <c:v>0.21822266446569236</c:v>
                </c:pt>
              </c:numCache>
            </c:numRef>
          </c:yVal>
          <c:bubbleSize>
            <c:numRef>
              <c:f>Visualization!$AS$4</c:f>
              <c:numCache>
                <c:formatCode>General</c:formatCode>
                <c:ptCount val="1"/>
                <c:pt idx="0">
                  <c:v>8780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B662-4850-BD9B-18EC7541C9EF}"/>
            </c:ext>
          </c:extLst>
        </c:ser>
        <c:ser>
          <c:idx val="1"/>
          <c:order val="1"/>
          <c:tx>
            <c:strRef>
              <c:f>Visualization!$AP$6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Visualization!$AR$6</c:f>
              <c:numCache>
                <c:formatCode>0.0%</c:formatCode>
                <c:ptCount val="1"/>
                <c:pt idx="0">
                  <c:v>0.11934341609004485</c:v>
                </c:pt>
              </c:numCache>
            </c:numRef>
          </c:xVal>
          <c:yVal>
            <c:numRef>
              <c:f>Visualization!$AQ$6</c:f>
              <c:numCache>
                <c:formatCode>0.0%</c:formatCode>
                <c:ptCount val="1"/>
                <c:pt idx="0">
                  <c:v>0.17054228804942673</c:v>
                </c:pt>
              </c:numCache>
            </c:numRef>
          </c:yVal>
          <c:bubbleSize>
            <c:numRef>
              <c:f>Visualization!$AS$6</c:f>
              <c:numCache>
                <c:formatCode>General</c:formatCode>
                <c:ptCount val="1"/>
                <c:pt idx="0">
                  <c:v>6209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B662-4850-BD9B-18EC7541C9EF}"/>
            </c:ext>
          </c:extLst>
        </c:ser>
        <c:ser>
          <c:idx val="2"/>
          <c:order val="2"/>
          <c:tx>
            <c:strRef>
              <c:f>Visualization!$AP$5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Visualization!$AR$5</c:f>
              <c:numCache>
                <c:formatCode>0.0%</c:formatCode>
                <c:ptCount val="1"/>
                <c:pt idx="0">
                  <c:v>0.13490767370348336</c:v>
                </c:pt>
              </c:numCache>
            </c:numRef>
          </c:xVal>
          <c:yVal>
            <c:numRef>
              <c:f>Visualization!$AQ$5</c:f>
              <c:numCache>
                <c:formatCode>0.0%</c:formatCode>
                <c:ptCount val="1"/>
                <c:pt idx="0">
                  <c:v>0.29539558154133239</c:v>
                </c:pt>
              </c:numCache>
            </c:numRef>
          </c:yVal>
          <c:bubbleSize>
            <c:numRef>
              <c:f>Visualization!$AS$5</c:f>
              <c:numCache>
                <c:formatCode>General</c:formatCode>
                <c:ptCount val="1"/>
                <c:pt idx="0">
                  <c:v>10616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B662-4850-BD9B-18EC7541C9EF}"/>
            </c:ext>
          </c:extLst>
        </c:ser>
        <c:ser>
          <c:idx val="3"/>
          <c:order val="3"/>
          <c:tx>
            <c:strRef>
              <c:f>Visualization!$AP$7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Visualization!$AR$7</c:f>
              <c:numCache>
                <c:formatCode>0.0%</c:formatCode>
                <c:ptCount val="1"/>
                <c:pt idx="0">
                  <c:v>0.14944831420727209</c:v>
                </c:pt>
              </c:numCache>
            </c:numRef>
          </c:xVal>
          <c:yVal>
            <c:numRef>
              <c:f>Visualization!$AQ$7</c:f>
              <c:numCache>
                <c:formatCode>0.0%</c:formatCode>
                <c:ptCount val="1"/>
                <c:pt idx="0">
                  <c:v>0.3158394659435485</c:v>
                </c:pt>
              </c:numCache>
            </c:numRef>
          </c:yVal>
          <c:bubbleSize>
            <c:numRef>
              <c:f>Visualization!$AS$7</c:f>
              <c:numCache>
                <c:formatCode>General</c:formatCode>
                <c:ptCount val="1"/>
                <c:pt idx="0">
                  <c:v>12266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B662-4850-BD9B-18EC7541C9E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839608591"/>
        <c:axId val="839609839"/>
      </c:bubbleChart>
      <c:valAx>
        <c:axId val="83960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609839"/>
        <c:crosses val="autoZero"/>
        <c:crossBetween val="midCat"/>
      </c:valAx>
      <c:valAx>
        <c:axId val="83960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60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</cx:strDim>
      <cx:numDim type="val">
        <cx:f>_xlchart.v5.5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400" b="0" i="0" baseline="0">
                <a:effectLst/>
                <a:latin typeface="+mn-lt"/>
              </a:rPr>
              <a:t>2015-2018 Quarterly Profit walk-through</a:t>
            </a:r>
            <a:endParaRPr lang="en-US" sz="1400" b="0">
              <a:effectLst/>
              <a:latin typeface="+mn-lt"/>
            </a:endParaRPr>
          </a:p>
        </cx:rich>
      </cx:tx>
    </cx:title>
    <cx:plotArea>
      <cx:plotAreaRegion>
        <cx:series layoutId="waterfall" uniqueId="{8D25E280-4963-44DC-8C1B-4861AA29B16A}">
          <cx:tx>
            <cx:txData>
              <cx:f>_xlchart.v5.4</cx:f>
              <cx:v>Delta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  <cx:fmtOvr idx="2">
      <cx:spPr>
        <a:solidFill>
          <a:srgbClr val="AFABAB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9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8.xml"/><Relationship Id="rId5" Type="http://schemas.openxmlformats.org/officeDocument/2006/relationships/chart" Target="../charts/chart5.xml"/><Relationship Id="rId15" Type="http://schemas.openxmlformats.org/officeDocument/2006/relationships/chart" Target="../charts/chart10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2.png"/><Relationship Id="rId1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7956</xdr:colOff>
      <xdr:row>14</xdr:row>
      <xdr:rowOff>8964</xdr:rowOff>
    </xdr:from>
    <xdr:to>
      <xdr:col>11</xdr:col>
      <xdr:colOff>8964</xdr:colOff>
      <xdr:row>27</xdr:row>
      <xdr:rowOff>8965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3662F-1E00-478A-997D-6FD4B23D4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8964</xdr:colOff>
      <xdr:row>30</xdr:row>
      <xdr:rowOff>8965</xdr:rowOff>
    </xdr:from>
    <xdr:to>
      <xdr:col>11</xdr:col>
      <xdr:colOff>8964</xdr:colOff>
      <xdr:row>47</xdr:row>
      <xdr:rowOff>8965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A8B835-BDF9-47F7-9A2A-90B059738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257174</xdr:colOff>
      <xdr:row>10</xdr:row>
      <xdr:rowOff>14286</xdr:rowOff>
    </xdr:from>
    <xdr:to>
      <xdr:col>17</xdr:col>
      <xdr:colOff>9524</xdr:colOff>
      <xdr:row>17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E82721-3061-4CDC-8E8A-A70A2A51E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209550</xdr:colOff>
      <xdr:row>20</xdr:row>
      <xdr:rowOff>5880</xdr:rowOff>
    </xdr:from>
    <xdr:to>
      <xdr:col>17</xdr:col>
      <xdr:colOff>0</xdr:colOff>
      <xdr:row>30</xdr:row>
      <xdr:rowOff>175533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D73711-13D1-4D6C-8200-C2BA14889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9525</xdr:colOff>
      <xdr:row>33</xdr:row>
      <xdr:rowOff>14286</xdr:rowOff>
    </xdr:from>
    <xdr:to>
      <xdr:col>17</xdr:col>
      <xdr:colOff>0</xdr:colOff>
      <xdr:row>47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F7A56E-BA5A-4099-AA1B-73D778010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285750</xdr:colOff>
      <xdr:row>16</xdr:row>
      <xdr:rowOff>0</xdr:rowOff>
    </xdr:from>
    <xdr:to>
      <xdr:col>23</xdr:col>
      <xdr:colOff>0</xdr:colOff>
      <xdr:row>29</xdr:row>
      <xdr:rowOff>28574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3DB18BD-BBB7-4CCD-918A-40FB2C77F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295274</xdr:colOff>
      <xdr:row>32</xdr:row>
      <xdr:rowOff>14287</xdr:rowOff>
    </xdr:from>
    <xdr:to>
      <xdr:col>23</xdr:col>
      <xdr:colOff>19049</xdr:colOff>
      <xdr:row>47</xdr:row>
      <xdr:rowOff>28575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57C2993-D17D-409D-8CAB-99A1602CC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18</xdr:row>
      <xdr:rowOff>19050</xdr:rowOff>
    </xdr:from>
    <xdr:to>
      <xdr:col>2</xdr:col>
      <xdr:colOff>371475</xdr:colOff>
      <xdr:row>28</xdr:row>
      <xdr:rowOff>121994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F03D616-D2C6-4662-8B83-0EDC019C3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2425" y="3686175"/>
          <a:ext cx="1228725" cy="2038635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39</xdr:row>
      <xdr:rowOff>9525</xdr:rowOff>
    </xdr:from>
    <xdr:to>
      <xdr:col>2</xdr:col>
      <xdr:colOff>543123</xdr:colOff>
      <xdr:row>46</xdr:row>
      <xdr:rowOff>171661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36F26B-3339-4251-8C0E-84B83EC3B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3375" y="7724775"/>
          <a:ext cx="1419423" cy="15146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180975</xdr:rowOff>
    </xdr:from>
    <xdr:to>
      <xdr:col>2</xdr:col>
      <xdr:colOff>762226</xdr:colOff>
      <xdr:row>53</xdr:row>
      <xdr:rowOff>152582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12F69C4-058C-4789-BE5F-CEBDE9DB6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" y="9229725"/>
          <a:ext cx="1619476" cy="1305107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22</xdr:row>
      <xdr:rowOff>17929</xdr:rowOff>
    </xdr:from>
    <xdr:to>
      <xdr:col>30</xdr:col>
      <xdr:colOff>10583</xdr:colOff>
      <xdr:row>40</xdr:row>
      <xdr:rowOff>8965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C882B9-D47B-4B46-B917-CC2DA39B2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10583</xdr:colOff>
      <xdr:row>17</xdr:row>
      <xdr:rowOff>14817</xdr:rowOff>
    </xdr:from>
    <xdr:to>
      <xdr:col>34</xdr:col>
      <xdr:colOff>21166</xdr:colOff>
      <xdr:row>39</xdr:row>
      <xdr:rowOff>10584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4836B2F-3938-4F94-9ECA-8919AC705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30</xdr:col>
      <xdr:colOff>304799</xdr:colOff>
      <xdr:row>45</xdr:row>
      <xdr:rowOff>28575</xdr:rowOff>
    </xdr:from>
    <xdr:to>
      <xdr:col>34</xdr:col>
      <xdr:colOff>11652</xdr:colOff>
      <xdr:row>63</xdr:row>
      <xdr:rowOff>86212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F27283F-7223-43A1-9691-ADE1FEAB1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469474" y="8934450"/>
          <a:ext cx="4505325" cy="3486637"/>
        </a:xfrm>
        <a:prstGeom prst="rect">
          <a:avLst/>
        </a:prstGeom>
      </xdr:spPr>
    </xdr:pic>
    <xdr:clientData/>
  </xdr:twoCellAnchor>
  <xdr:twoCellAnchor>
    <xdr:from>
      <xdr:col>35</xdr:col>
      <xdr:colOff>0</xdr:colOff>
      <xdr:row>17</xdr:row>
      <xdr:rowOff>9525</xdr:rowOff>
    </xdr:from>
    <xdr:to>
      <xdr:col>40</xdr:col>
      <xdr:colOff>0</xdr:colOff>
      <xdr:row>35</xdr:row>
      <xdr:rowOff>9525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A8A1076-60EE-49E2-B892-C6B4841045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39720" y="3385185"/>
              <a:ext cx="4815840" cy="3360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41</xdr:col>
      <xdr:colOff>9524</xdr:colOff>
      <xdr:row>10</xdr:row>
      <xdr:rowOff>14287</xdr:rowOff>
    </xdr:from>
    <xdr:to>
      <xdr:col>48</xdr:col>
      <xdr:colOff>9524</xdr:colOff>
      <xdr:row>26</xdr:row>
      <xdr:rowOff>170329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AFCB21-A66C-4660-A588-57A04C6B8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 Luo" refreshedDate="46009.878043055556" createdVersion="7" refreshedVersion="7" minRefreshableVersion="3" recordCount="4" xr:uid="{59496764-3037-473C-9D4D-D73C369D2E54}">
  <cacheSource type="worksheet">
    <worksheetSource name="Table16"/>
  </cacheSource>
  <cacheFields count="3">
    <cacheField name="Sales Year" numFmtId="49">
      <sharedItems count="4">
        <s v="2005"/>
        <s v="2007"/>
        <s v="2009"/>
        <s v="2011"/>
      </sharedItems>
    </cacheField>
    <cacheField name="Sales_Q1" numFmtId="164">
      <sharedItems containsSemiMixedTypes="0" containsString="0" containsNumber="1" minValue="114.9" maxValue="911.42399999999998"/>
    </cacheField>
    <cacheField name="Sales_Q2" numFmtId="164">
      <sharedItems containsSemiMixedTypes="0" containsString="0" containsNumber="1" minValue="8.56" maxValue="1706.184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14.9"/>
    <n v="1706.1840000000002"/>
  </r>
  <r>
    <x v="1"/>
    <n v="911.42399999999998"/>
    <n v="8.56"/>
  </r>
  <r>
    <x v="2"/>
    <n v="213.48000000000002"/>
    <n v="22.72"/>
  </r>
  <r>
    <x v="3"/>
    <n v="665.88"/>
    <n v="1044.62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B2C47-4A1A-496F-8605-F801699C8EB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F3:H8" firstHeaderRow="0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numFmtId="164" showAll="0"/>
    <pivotField dataField="1"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Q1" fld="1" baseField="0" baseItem="0"/>
    <dataField name="Sum of Sales_Q2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FDB936-9281-40DA-B6ED-52466BD79E45}" name="Table4" displayName="Table4" ref="B5:D18" totalsRowShown="0" headerRowDxfId="50" tableBorderDxfId="49">
  <autoFilter ref="B5:D18" xr:uid="{25FDB936-9281-40DA-B6ED-52466BD79E45}"/>
  <tableColumns count="3">
    <tableColumn id="1" xr3:uid="{F2A7091B-E9F6-4AB4-AE51-30FCC21B0305}" name="Sales" dataDxfId="48" dataCellStyle="Currency"/>
    <tableColumn id="2" xr3:uid="{F9EA304B-2C9A-4BEF-A4D6-490418831DE6}" name="Quantity" dataDxfId="47"/>
    <tableColumn id="3" xr3:uid="{0F40EFA3-5B32-4812-ACA0-C5DE942FAA51}" name="Total Price" dataDxfId="46">
      <calculatedColumnFormula>Table4[[#This Row],[Sales]]*Table4[[#This Row],[Quantity]]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145C88-A2B8-4058-B022-98DC98F37D13}" name="Table2" displayName="Table2" ref="D3:G9" totalsRowShown="0" headerRowDxfId="45" tableBorderDxfId="44">
  <autoFilter ref="D3:G9" xr:uid="{7F145C88-A2B8-4058-B022-98DC98F37D13}"/>
  <sortState xmlns:xlrd2="http://schemas.microsoft.com/office/spreadsheetml/2017/richdata2" ref="D4:G9">
    <sortCondition ref="F3:F9"/>
  </sortState>
  <tableColumns count="4">
    <tableColumn id="1" xr3:uid="{059B66F2-B461-4DAC-8F26-0A62CDB41873}" name="Row ID"/>
    <tableColumn id="2" xr3:uid="{8E1671D8-E293-4962-BF1C-BD502175E89C}" name="Order ID"/>
    <tableColumn id="3" xr3:uid="{F355C1DA-8BB1-49C9-8CC3-26D088A923CC}" name="Order Date" dataDxfId="43"/>
    <tableColumn id="4" xr3:uid="{9538DEA1-FFEA-45C9-BEBE-2299532B74E9}" name="Customer 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DC8B11-B144-4B16-97B7-90369C28AE9F}" name="Table24" displayName="Table24" ref="B25:J40" totalsRowShown="0" headerRowDxfId="42" tableBorderDxfId="41">
  <autoFilter ref="B25:J40" xr:uid="{C1DC8B11-B144-4B16-97B7-90369C28AE9F}"/>
  <tableColumns count="9">
    <tableColumn id="1" xr3:uid="{547DECC9-03D1-4288-AE6B-77E0F2037569}" name="Row ID"/>
    <tableColumn id="2" xr3:uid="{EE5816A2-9683-41DA-9DAA-3C4C3F622F28}" name="Order ID"/>
    <tableColumn id="3" xr3:uid="{5B3C50B6-93EC-4A9A-B137-39BF28EFAD40}" name="Order Date" dataDxfId="40"/>
    <tableColumn id="4" xr3:uid="{9550C6A2-8DEA-488F-94C0-2CED74BB4624}" name="Customer Name" dataDxfId="39"/>
    <tableColumn id="5" xr3:uid="{831E355B-685C-4585-BDFD-64D866160BAA}" name="Gute's Order in 2016" dataDxfId="38">
      <calculatedColumnFormula>AND(Table24[[#This Row],[Customer Name]] ="Claire Gute", Table24[[#This Row],[Order Date]] &gt;=DATE(2016,1,1))</calculatedColumnFormula>
    </tableColumn>
    <tableColumn id="7" xr3:uid="{82CE3097-C321-4F09-AE68-52EE17A97A90}" name="Orders from Gute or Allen" dataDxfId="37">
      <calculatedColumnFormula>OR(Table24[[#This Row],[Customer Name]]="Claire Gute", Table24[[#This Row],[Customer Name]]="Andrew Allen")</calculatedColumnFormula>
    </tableColumn>
    <tableColumn id="8" xr3:uid="{6B8C570D-3510-4760-BBB6-23828BEA1579}" name="Orders after 2014?" dataDxfId="36">
      <calculatedColumnFormula>NOT(Table24[[#This Row],[Order Date]]&lt;DATE(2014,12,31))</calculatedColumnFormula>
    </tableColumn>
    <tableColumn id="6" xr3:uid="{D0C4D204-41F3-405F-BF23-BCECC06EB49E}" name="2014-2015, Others" dataDxfId="35">
      <calculatedColumnFormula>IF(AND(Table24[[#This Row],[Order Date]]&gt;=DATE(2014,1,1), Table24[[#This Row],[Order Date]]&lt;DATE(2016,1,1)), "2014-2015", "Others")</calculatedColumnFormula>
    </tableColumn>
    <tableColumn id="9" xr3:uid="{B4999B3D-4171-44FE-8557-DD6340661BB4}" name="2014, between,2017" dataDxfId="34">
      <calculatedColumnFormula>IF(Table24[[#This Row],[Order Date]]&gt;=DATE(2017,1,1), "2017",
IF(Table24[[#This Row],[Order Date]]&gt;=DATE(2014,12,31), "between", "2014"))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32629B-9296-409D-A217-79C37BE881F1}" name="Table16" displayName="Table16" ref="B3:D7" totalsRowShown="0" headerRowDxfId="33">
  <autoFilter ref="B3:D7" xr:uid="{EB32629B-9296-409D-A217-79C37BE881F1}"/>
  <sortState xmlns:xlrd2="http://schemas.microsoft.com/office/spreadsheetml/2017/richdata2" ref="B4:C7">
    <sortCondition ref="B3:B7"/>
  </sortState>
  <tableColumns count="3">
    <tableColumn id="1" xr3:uid="{10023538-26AF-4A26-86BF-60B2022BA6AB}" name="Sales Year" dataDxfId="32"/>
    <tableColumn id="2" xr3:uid="{A2F74CA9-569A-45B8-9FB9-B9D7CA832FDE}" name="Sales_Q1" dataDxfId="31" dataCellStyle="Currency"/>
    <tableColumn id="3" xr3:uid="{2F2B73DC-FF54-4495-B21C-4E0B1B4BD852}" name="Sales_Q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5C75C-E3C4-41E8-9802-D8076CD7C628}" name="Table1" displayName="Table1" ref="E3:F11" totalsRowShown="0" tableBorderDxfId="30">
  <autoFilter ref="E3:F11" xr:uid="{4675C75C-E3C4-41E8-9802-D8076CD7C628}"/>
  <sortState xmlns:xlrd2="http://schemas.microsoft.com/office/spreadsheetml/2017/richdata2" ref="E4:F16">
    <sortCondition ref="E3:E16"/>
  </sortState>
  <tableColumns count="2">
    <tableColumn id="1" xr3:uid="{FD1625DD-6D8C-4BC1-BE6C-B64C9FAE65B6}" name="Quarter" dataDxfId="29"/>
    <tableColumn id="2" xr3:uid="{C3EC8F77-EEAC-4004-B396-8AFECD627903}" name="Sales" dataDxfId="28" dataCellStyle="Currenc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A90337-5183-4EDD-A8A2-5933DD9CFB9D}" name="Table6" displayName="Table6" ref="M3:Q8" totalsRowShown="0" tableBorderDxfId="27">
  <autoFilter ref="M3:Q8" xr:uid="{40A90337-5183-4EDD-A8A2-5933DD9CFB9D}"/>
  <tableColumns count="5">
    <tableColumn id="1" xr3:uid="{6763CE39-0AFF-412C-BA0F-D71259CFE6B9}" name="Region"/>
    <tableColumn id="2" xr3:uid="{0682B697-ECD5-4FEC-BE97-41C926886BED}" name="Sales" dataDxfId="26" dataCellStyle="Currency"/>
    <tableColumn id="3" xr3:uid="{F8CF1613-6E6E-41AD-AE14-2D7A64A580F8}" name="Profit" dataDxfId="25" dataCellStyle="Currency"/>
    <tableColumn id="4" xr3:uid="{C3E0180B-9AC8-481A-8EB2-8E419C940B14}" name="Sales_Percentage" dataDxfId="24" dataCellStyle="Percent"/>
    <tableColumn id="5" xr3:uid="{B48245D7-B929-49DC-8A87-90E57AE62EB4}" name="Profit_Percentage" dataDxfId="23" dataCellStyle="Percen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C3DC81-10E9-4D1F-81D5-A213534BEC81}" name="Table7" displayName="Table7" ref="S3:W13" totalsRowShown="0" dataDxfId="22" tableBorderDxfId="21" dataCellStyle="Currency">
  <autoFilter ref="S3:W13" xr:uid="{24C3DC81-10E9-4D1F-81D5-A213534BEC81}"/>
  <tableColumns count="5">
    <tableColumn id="1" xr3:uid="{FAF6245D-8291-42EC-8015-BFD90619B0F8}" name="Sub-Category"/>
    <tableColumn id="2" xr3:uid="{167A03A3-985E-4A63-98DA-71FB28033FB1}" name="Consumer" dataDxfId="20" dataCellStyle="Currency"/>
    <tableColumn id="3" xr3:uid="{5949DE86-2C12-4911-81F6-535A8F59635A}" name="Corporate" dataDxfId="19" dataCellStyle="Currency"/>
    <tableColumn id="4" xr3:uid="{F64B5488-CF27-42AC-80C5-2305ABD5D351}" name="Home Office" dataDxfId="18" dataCellStyle="Currency"/>
    <tableColumn id="5" xr3:uid="{92A50A73-F01B-4697-99C3-6D2251044BE3}" name="Total Sales" dataDxfId="17" dataCellStyle="Currenc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54AD45-69E8-4B56-9D38-1CC779E26DBD}" name="Table49" displayName="Table49" ref="Y3:AD19" totalsRowShown="0">
  <autoFilter ref="Y3:AD19" xr:uid="{4C54AD45-69E8-4B56-9D38-1CC779E26DBD}"/>
  <tableColumns count="6">
    <tableColumn id="1" xr3:uid="{C497AF87-9C4A-413E-A258-8D616D73F17B}" name="Quarter"/>
    <tableColumn id="2" xr3:uid="{C6373211-D07D-443F-950D-502226B1F655}" name="Central" dataDxfId="16"/>
    <tableColumn id="3" xr3:uid="{505AE6DF-6E75-4DBD-924C-CBD64A1E5E4F}" name="East" dataDxfId="15"/>
    <tableColumn id="4" xr3:uid="{DA1AD8AA-E4EE-49A9-8AE4-4C4CEC42BE58}" name="South" dataDxfId="14"/>
    <tableColumn id="5" xr3:uid="{94D7267A-5CE0-49E2-ACC2-9BA3E5FD6AFC}" name="West" dataDxfId="13"/>
    <tableColumn id="6" xr3:uid="{EB6DFE3F-2811-4B44-8BC4-44D8C679ACD5}" name="Total Sales" dataDxfId="1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E3079D-C59D-4F13-9CAF-96488C0A6250}" name="Table9" displayName="Table9" ref="AF3:AH14" totalsRowShown="0" headerRowDxfId="11" headerRowBorderDxfId="10">
  <autoFilter ref="AF3:AH14" xr:uid="{46E3079D-C59D-4F13-9CAF-96488C0A6250}"/>
  <tableColumns count="3">
    <tableColumn id="1" xr3:uid="{CABCC03F-991A-4135-8EEC-A65E1DC1172B}" name="Sub-Category" dataDxfId="9"/>
    <tableColumn id="2" xr3:uid="{875CB19E-A8F1-48DC-BF17-2A2BE8B6055E}" name="Yearly 2018 Sales" dataDxfId="8"/>
    <tableColumn id="3" xr3:uid="{967A209D-12FA-4224-B8FA-58B76D6F16C0}" name="Average Yearly Sales 2014-2019" dataDxfId="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3AA058-7AA4-47B0-9C34-B4E95A147A77}" name="Table10" displayName="Table10" ref="AJ3:AL14" totalsRowShown="0" headerRowDxfId="6" headerRowBorderDxfId="5">
  <autoFilter ref="AJ3:AL14" xr:uid="{FF3AA058-7AA4-47B0-9C34-B4E95A147A77}"/>
  <tableColumns count="3">
    <tableColumn id="1" xr3:uid="{BC230671-AA55-4573-8416-95FDE28BEBE4}" name="Year / Quarter" dataDxfId="4"/>
    <tableColumn id="2" xr3:uid="{5B19EDA5-4351-4373-B1D5-2D714624C405}" name="Cumulative Profit" dataDxfId="3"/>
    <tableColumn id="3" xr3:uid="{DD091EF0-54E6-45CF-8C98-BD206DA01940}" name="Delta" dataDxfId="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F04920-D6AB-481C-99F5-8EFFC10CB759}" name="Table5" displayName="Table5" ref="AP3:AS7" totalsRowShown="0">
  <autoFilter ref="AP3:AS7" xr:uid="{7AF04920-D6AB-481C-99F5-8EFFC10CB759}"/>
  <tableColumns count="4">
    <tableColumn id="1" xr3:uid="{1E585CD3-8E05-45A3-959B-02C8C51E6295}" name="Region"/>
    <tableColumn id="2" xr3:uid="{850632ED-7F91-47C0-8E4D-0A904BE8E080}" name="Sales" dataDxfId="1" dataCellStyle="Percent"/>
    <tableColumn id="3" xr3:uid="{966EEC77-7A7D-4B01-9021-942C088E84DC}" name="Profit" dataDxfId="0" dataCellStyle="Percent"/>
    <tableColumn id="4" xr3:uid="{BED487A1-13DF-49BB-AF0A-4A3F769E382D}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*@[Quantity]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448A-DCBA-493B-BA7D-C9EFD1BDE7CC}">
  <dimension ref="B1:I19"/>
  <sheetViews>
    <sheetView workbookViewId="0">
      <selection activeCell="L13" sqref="L13"/>
    </sheetView>
  </sheetViews>
  <sheetFormatPr defaultRowHeight="14.4" x14ac:dyDescent="0.3"/>
  <cols>
    <col min="1" max="1" width="6.88671875" customWidth="1"/>
    <col min="2" max="2" width="22.44140625" customWidth="1"/>
    <col min="3" max="4" width="12.5546875" customWidth="1"/>
    <col min="5" max="5" width="15.33203125" customWidth="1"/>
    <col min="6" max="6" width="16.6640625" customWidth="1"/>
    <col min="7" max="7" width="14.44140625" customWidth="1"/>
    <col min="8" max="8" width="36.109375" customWidth="1"/>
    <col min="9" max="9" width="38" customWidth="1"/>
  </cols>
  <sheetData>
    <row r="1" spans="2:9" ht="15" thickBot="1" x14ac:dyDescent="0.35"/>
    <row r="2" spans="2:9" x14ac:dyDescent="0.3">
      <c r="B2" s="116" t="s">
        <v>121</v>
      </c>
      <c r="C2" s="118" t="s">
        <v>22</v>
      </c>
      <c r="D2" s="118" t="s">
        <v>23</v>
      </c>
      <c r="E2" s="118" t="s">
        <v>24</v>
      </c>
      <c r="F2" s="118" t="s">
        <v>25</v>
      </c>
      <c r="G2" s="118" t="s">
        <v>96</v>
      </c>
      <c r="H2" s="112" t="s">
        <v>132</v>
      </c>
      <c r="I2" s="114" t="s">
        <v>98</v>
      </c>
    </row>
    <row r="3" spans="2:9" s="71" customFormat="1" ht="16.5" customHeight="1" thickBot="1" x14ac:dyDescent="0.35">
      <c r="B3" s="117"/>
      <c r="C3" s="113"/>
      <c r="D3" s="119"/>
      <c r="E3" s="119"/>
      <c r="F3" s="119"/>
      <c r="G3" s="119"/>
      <c r="H3" s="113"/>
      <c r="I3" s="115"/>
    </row>
    <row r="4" spans="2:9" x14ac:dyDescent="0.3">
      <c r="B4" s="20" t="s">
        <v>6</v>
      </c>
      <c r="C4" s="43" t="s">
        <v>26</v>
      </c>
      <c r="D4" s="43" t="s">
        <v>27</v>
      </c>
      <c r="E4" s="43" t="s">
        <v>28</v>
      </c>
      <c r="F4" s="19" t="s">
        <v>6</v>
      </c>
      <c r="G4" s="43" t="s">
        <v>96</v>
      </c>
      <c r="H4" s="43" t="s">
        <v>97</v>
      </c>
      <c r="I4" s="19" t="s">
        <v>99</v>
      </c>
    </row>
    <row r="5" spans="2:9" x14ac:dyDescent="0.3">
      <c r="B5" s="11">
        <v>42682</v>
      </c>
      <c r="C5" s="44">
        <f>YEAR(B5)</f>
        <v>2016</v>
      </c>
      <c r="D5" s="44">
        <f>MONTH(B5)</f>
        <v>11</v>
      </c>
      <c r="E5" s="44">
        <f>DAY(B5)</f>
        <v>8</v>
      </c>
      <c r="F5" s="12">
        <f>DATE(C5,D5,E5)</f>
        <v>42682</v>
      </c>
      <c r="G5" s="46">
        <f ca="1">TODAY()</f>
        <v>46017</v>
      </c>
      <c r="H5" s="44">
        <f ca="1">WEEKDAY(G5,2)</f>
        <v>5</v>
      </c>
      <c r="I5" s="12">
        <f ca="1">WORKDAY(G5,5)</f>
        <v>46024</v>
      </c>
    </row>
    <row r="6" spans="2:9" x14ac:dyDescent="0.3">
      <c r="B6" s="11">
        <v>42682</v>
      </c>
      <c r="C6" s="44">
        <f t="shared" ref="C6:C19" si="0">YEAR(B6)</f>
        <v>2016</v>
      </c>
      <c r="D6" s="44">
        <f t="shared" ref="D6:D19" si="1">MONTH(B6)</f>
        <v>11</v>
      </c>
      <c r="E6" s="44">
        <f t="shared" ref="E6:E19" si="2">DAY(B6)</f>
        <v>8</v>
      </c>
      <c r="F6" s="12">
        <f t="shared" ref="F6:F19" si="3">DATE(C6,D6,E6)</f>
        <v>42682</v>
      </c>
      <c r="G6" s="46">
        <f t="shared" ref="G6:G19" ca="1" si="4">TODAY()</f>
        <v>46017</v>
      </c>
      <c r="H6" s="44">
        <f t="shared" ref="H6:H19" ca="1" si="5">WEEKDAY(G6,2)</f>
        <v>5</v>
      </c>
      <c r="I6" s="12">
        <f ca="1">WORKDAY(G5,-2)</f>
        <v>46015</v>
      </c>
    </row>
    <row r="7" spans="2:9" x14ac:dyDescent="0.3">
      <c r="B7" s="11">
        <v>42533</v>
      </c>
      <c r="C7" s="44">
        <f t="shared" si="0"/>
        <v>2016</v>
      </c>
      <c r="D7" s="44">
        <f t="shared" si="1"/>
        <v>6</v>
      </c>
      <c r="E7" s="44">
        <f t="shared" si="2"/>
        <v>12</v>
      </c>
      <c r="F7" s="12">
        <f t="shared" si="3"/>
        <v>42533</v>
      </c>
      <c r="G7" s="46">
        <f t="shared" ca="1" si="4"/>
        <v>46017</v>
      </c>
      <c r="H7" s="44">
        <f t="shared" ca="1" si="5"/>
        <v>5</v>
      </c>
      <c r="I7" s="12">
        <f t="shared" ref="I7:I19" ca="1" si="6">WORKDAY(G6,-2)</f>
        <v>46015</v>
      </c>
    </row>
    <row r="8" spans="2:9" x14ac:dyDescent="0.3">
      <c r="B8" s="11">
        <v>42288</v>
      </c>
      <c r="C8" s="44">
        <f t="shared" si="0"/>
        <v>2015</v>
      </c>
      <c r="D8" s="44">
        <f t="shared" si="1"/>
        <v>10</v>
      </c>
      <c r="E8" s="44">
        <f t="shared" si="2"/>
        <v>11</v>
      </c>
      <c r="F8" s="12">
        <f t="shared" si="3"/>
        <v>42288</v>
      </c>
      <c r="G8" s="46">
        <f t="shared" ca="1" si="4"/>
        <v>46017</v>
      </c>
      <c r="H8" s="44">
        <f t="shared" ca="1" si="5"/>
        <v>5</v>
      </c>
      <c r="I8" s="12">
        <f t="shared" ca="1" si="6"/>
        <v>46015</v>
      </c>
    </row>
    <row r="9" spans="2:9" x14ac:dyDescent="0.3">
      <c r="B9" s="11">
        <v>42288</v>
      </c>
      <c r="C9" s="44">
        <f t="shared" si="0"/>
        <v>2015</v>
      </c>
      <c r="D9" s="44">
        <f t="shared" si="1"/>
        <v>10</v>
      </c>
      <c r="E9" s="44">
        <f t="shared" si="2"/>
        <v>11</v>
      </c>
      <c r="F9" s="12">
        <f t="shared" si="3"/>
        <v>42288</v>
      </c>
      <c r="G9" s="46">
        <f t="shared" ca="1" si="4"/>
        <v>46017</v>
      </c>
      <c r="H9" s="44">
        <f t="shared" ca="1" si="5"/>
        <v>5</v>
      </c>
      <c r="I9" s="12">
        <f t="shared" ca="1" si="6"/>
        <v>46015</v>
      </c>
    </row>
    <row r="10" spans="2:9" x14ac:dyDescent="0.3">
      <c r="B10" s="11">
        <v>41799</v>
      </c>
      <c r="C10" s="44">
        <f t="shared" si="0"/>
        <v>2014</v>
      </c>
      <c r="D10" s="44">
        <f t="shared" si="1"/>
        <v>6</v>
      </c>
      <c r="E10" s="44">
        <f t="shared" si="2"/>
        <v>9</v>
      </c>
      <c r="F10" s="12">
        <f t="shared" si="3"/>
        <v>41799</v>
      </c>
      <c r="G10" s="46">
        <f t="shared" ca="1" si="4"/>
        <v>46017</v>
      </c>
      <c r="H10" s="44">
        <f t="shared" ca="1" si="5"/>
        <v>5</v>
      </c>
      <c r="I10" s="12">
        <f t="shared" ca="1" si="6"/>
        <v>46015</v>
      </c>
    </row>
    <row r="11" spans="2:9" x14ac:dyDescent="0.3">
      <c r="B11" s="11">
        <v>41799</v>
      </c>
      <c r="C11" s="44">
        <f t="shared" si="0"/>
        <v>2014</v>
      </c>
      <c r="D11" s="44">
        <f t="shared" si="1"/>
        <v>6</v>
      </c>
      <c r="E11" s="44">
        <f t="shared" si="2"/>
        <v>9</v>
      </c>
      <c r="F11" s="12">
        <f t="shared" si="3"/>
        <v>41799</v>
      </c>
      <c r="G11" s="46">
        <f t="shared" ca="1" si="4"/>
        <v>46017</v>
      </c>
      <c r="H11" s="44">
        <f t="shared" ca="1" si="5"/>
        <v>5</v>
      </c>
      <c r="I11" s="12">
        <f t="shared" ca="1" si="6"/>
        <v>46015</v>
      </c>
    </row>
    <row r="12" spans="2:9" x14ac:dyDescent="0.3">
      <c r="B12" s="11">
        <v>41799</v>
      </c>
      <c r="C12" s="44">
        <f t="shared" si="0"/>
        <v>2014</v>
      </c>
      <c r="D12" s="44">
        <f t="shared" si="1"/>
        <v>6</v>
      </c>
      <c r="E12" s="44">
        <f t="shared" si="2"/>
        <v>9</v>
      </c>
      <c r="F12" s="12">
        <f t="shared" si="3"/>
        <v>41799</v>
      </c>
      <c r="G12" s="46">
        <f t="shared" ca="1" si="4"/>
        <v>46017</v>
      </c>
      <c r="H12" s="44">
        <f t="shared" ca="1" si="5"/>
        <v>5</v>
      </c>
      <c r="I12" s="12">
        <f t="shared" ca="1" si="6"/>
        <v>46015</v>
      </c>
    </row>
    <row r="13" spans="2:9" x14ac:dyDescent="0.3">
      <c r="B13" s="11">
        <v>41799</v>
      </c>
      <c r="C13" s="44">
        <f t="shared" si="0"/>
        <v>2014</v>
      </c>
      <c r="D13" s="44">
        <f t="shared" si="1"/>
        <v>6</v>
      </c>
      <c r="E13" s="44">
        <f t="shared" si="2"/>
        <v>9</v>
      </c>
      <c r="F13" s="12">
        <f t="shared" si="3"/>
        <v>41799</v>
      </c>
      <c r="G13" s="46">
        <f t="shared" ca="1" si="4"/>
        <v>46017</v>
      </c>
      <c r="H13" s="44">
        <f t="shared" ca="1" si="5"/>
        <v>5</v>
      </c>
      <c r="I13" s="12">
        <f t="shared" ca="1" si="6"/>
        <v>46015</v>
      </c>
    </row>
    <row r="14" spans="2:9" x14ac:dyDescent="0.3">
      <c r="B14" s="11">
        <v>41799</v>
      </c>
      <c r="C14" s="44">
        <f t="shared" si="0"/>
        <v>2014</v>
      </c>
      <c r="D14" s="44">
        <f t="shared" si="1"/>
        <v>6</v>
      </c>
      <c r="E14" s="44">
        <f t="shared" si="2"/>
        <v>9</v>
      </c>
      <c r="F14" s="12">
        <f t="shared" si="3"/>
        <v>41799</v>
      </c>
      <c r="G14" s="46">
        <f t="shared" ca="1" si="4"/>
        <v>46017</v>
      </c>
      <c r="H14" s="44">
        <f t="shared" ca="1" si="5"/>
        <v>5</v>
      </c>
      <c r="I14" s="12">
        <f t="shared" ca="1" si="6"/>
        <v>46015</v>
      </c>
    </row>
    <row r="15" spans="2:9" x14ac:dyDescent="0.3">
      <c r="B15" s="11">
        <v>41799</v>
      </c>
      <c r="C15" s="44">
        <f t="shared" si="0"/>
        <v>2014</v>
      </c>
      <c r="D15" s="44">
        <f t="shared" si="1"/>
        <v>6</v>
      </c>
      <c r="E15" s="44">
        <f t="shared" si="2"/>
        <v>9</v>
      </c>
      <c r="F15" s="12">
        <f t="shared" si="3"/>
        <v>41799</v>
      </c>
      <c r="G15" s="46">
        <f t="shared" ca="1" si="4"/>
        <v>46017</v>
      </c>
      <c r="H15" s="44">
        <f t="shared" ca="1" si="5"/>
        <v>5</v>
      </c>
      <c r="I15" s="12">
        <f t="shared" ca="1" si="6"/>
        <v>46015</v>
      </c>
    </row>
    <row r="16" spans="2:9" x14ac:dyDescent="0.3">
      <c r="B16" s="11">
        <v>41799</v>
      </c>
      <c r="C16" s="44">
        <f t="shared" si="0"/>
        <v>2014</v>
      </c>
      <c r="D16" s="44">
        <f t="shared" si="1"/>
        <v>6</v>
      </c>
      <c r="E16" s="44">
        <f t="shared" si="2"/>
        <v>9</v>
      </c>
      <c r="F16" s="12">
        <f t="shared" si="3"/>
        <v>41799</v>
      </c>
      <c r="G16" s="46">
        <f t="shared" ca="1" si="4"/>
        <v>46017</v>
      </c>
      <c r="H16" s="44">
        <f t="shared" ca="1" si="5"/>
        <v>5</v>
      </c>
      <c r="I16" s="12">
        <f t="shared" ca="1" si="6"/>
        <v>46015</v>
      </c>
    </row>
    <row r="17" spans="2:9" x14ac:dyDescent="0.3">
      <c r="B17" s="11">
        <v>42840</v>
      </c>
      <c r="C17" s="44">
        <f t="shared" si="0"/>
        <v>2017</v>
      </c>
      <c r="D17" s="44">
        <f t="shared" si="1"/>
        <v>4</v>
      </c>
      <c r="E17" s="44">
        <f t="shared" si="2"/>
        <v>15</v>
      </c>
      <c r="F17" s="12">
        <f t="shared" si="3"/>
        <v>42840</v>
      </c>
      <c r="G17" s="46">
        <f t="shared" ca="1" si="4"/>
        <v>46017</v>
      </c>
      <c r="H17" s="44">
        <f t="shared" ca="1" si="5"/>
        <v>5</v>
      </c>
      <c r="I17" s="12">
        <f t="shared" ca="1" si="6"/>
        <v>46015</v>
      </c>
    </row>
    <row r="18" spans="2:9" x14ac:dyDescent="0.3">
      <c r="B18" s="11">
        <v>42709</v>
      </c>
      <c r="C18" s="44">
        <f t="shared" si="0"/>
        <v>2016</v>
      </c>
      <c r="D18" s="44">
        <f t="shared" si="1"/>
        <v>12</v>
      </c>
      <c r="E18" s="44">
        <f t="shared" si="2"/>
        <v>5</v>
      </c>
      <c r="F18" s="12">
        <f t="shared" si="3"/>
        <v>42709</v>
      </c>
      <c r="G18" s="46">
        <f t="shared" ca="1" si="4"/>
        <v>46017</v>
      </c>
      <c r="H18" s="44">
        <f t="shared" ca="1" si="5"/>
        <v>5</v>
      </c>
      <c r="I18" s="12">
        <f t="shared" ca="1" si="6"/>
        <v>46015</v>
      </c>
    </row>
    <row r="19" spans="2:9" ht="15" thickBot="1" x14ac:dyDescent="0.35">
      <c r="B19" s="13">
        <v>42330</v>
      </c>
      <c r="C19" s="45">
        <f t="shared" si="0"/>
        <v>2015</v>
      </c>
      <c r="D19" s="45">
        <f t="shared" si="1"/>
        <v>11</v>
      </c>
      <c r="E19" s="45">
        <f t="shared" si="2"/>
        <v>22</v>
      </c>
      <c r="F19" s="14">
        <f t="shared" si="3"/>
        <v>42330</v>
      </c>
      <c r="G19" s="47">
        <f t="shared" ca="1" si="4"/>
        <v>46017</v>
      </c>
      <c r="H19" s="45">
        <f t="shared" ca="1" si="5"/>
        <v>5</v>
      </c>
      <c r="I19" s="14">
        <f t="shared" ca="1" si="6"/>
        <v>46015</v>
      </c>
    </row>
  </sheetData>
  <mergeCells count="8">
    <mergeCell ref="H2:H3"/>
    <mergeCell ref="I2:I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B5A3-C746-4DF2-9AD9-EFA6DFBC3230}">
  <dimension ref="B2:K37"/>
  <sheetViews>
    <sheetView workbookViewId="0">
      <selection activeCell="F27" sqref="F27"/>
    </sheetView>
  </sheetViews>
  <sheetFormatPr defaultRowHeight="14.4" x14ac:dyDescent="0.3"/>
  <cols>
    <col min="1" max="1" width="6.109375" customWidth="1"/>
    <col min="2" max="2" width="17.88671875" customWidth="1"/>
    <col min="3" max="3" width="10.88671875" customWidth="1"/>
    <col min="4" max="4" width="14" customWidth="1"/>
    <col min="5" max="5" width="4.6640625" style="138" customWidth="1"/>
    <col min="6" max="6" width="37.109375" customWidth="1"/>
    <col min="7" max="7" width="13.5546875" style="51" bestFit="1" customWidth="1"/>
    <col min="8" max="8" width="13.88671875" style="51" bestFit="1" customWidth="1"/>
    <col min="9" max="9" width="10.44140625" style="51" bestFit="1" customWidth="1"/>
    <col min="10" max="10" width="13.44140625" style="51" bestFit="1" customWidth="1"/>
    <col min="11" max="11" width="15.88671875" customWidth="1"/>
  </cols>
  <sheetData>
    <row r="2" spans="2:11" ht="15" customHeight="1" thickBot="1" x14ac:dyDescent="0.35">
      <c r="F2" s="50"/>
      <c r="G2" s="52"/>
      <c r="H2" s="52"/>
      <c r="I2" s="52"/>
      <c r="J2" s="52"/>
      <c r="K2" s="50"/>
    </row>
    <row r="3" spans="2:11" ht="15" thickBot="1" x14ac:dyDescent="0.35">
      <c r="B3" s="120" t="s">
        <v>69</v>
      </c>
      <c r="C3" s="121"/>
      <c r="D3" s="122"/>
      <c r="F3" s="116" t="s">
        <v>70</v>
      </c>
      <c r="G3" s="77" t="s">
        <v>31</v>
      </c>
      <c r="H3" s="77" t="s">
        <v>32</v>
      </c>
      <c r="I3" s="77" t="s">
        <v>33</v>
      </c>
      <c r="J3" s="77" t="s">
        <v>34</v>
      </c>
      <c r="K3" s="78" t="s">
        <v>35</v>
      </c>
    </row>
    <row r="4" spans="2:11" ht="15" thickBot="1" x14ac:dyDescent="0.35">
      <c r="B4" s="123"/>
      <c r="C4" s="124"/>
      <c r="D4" s="125"/>
      <c r="F4" s="126"/>
      <c r="G4" s="53" t="s">
        <v>36</v>
      </c>
      <c r="H4" s="53" t="s">
        <v>37</v>
      </c>
      <c r="I4" s="53" t="s">
        <v>38</v>
      </c>
      <c r="J4" s="53" t="s">
        <v>39</v>
      </c>
      <c r="K4" s="23" t="s">
        <v>40</v>
      </c>
    </row>
    <row r="5" spans="2:11" ht="16.2" thickBot="1" x14ac:dyDescent="0.35">
      <c r="B5" s="95" t="s">
        <v>29</v>
      </c>
      <c r="C5" s="96" t="s">
        <v>30</v>
      </c>
      <c r="D5" s="97" t="s">
        <v>78</v>
      </c>
      <c r="F5" s="117"/>
      <c r="G5" s="54">
        <f>MIN(B:B)</f>
        <v>7.28</v>
      </c>
      <c r="H5" s="54">
        <f>MAX(B:B)</f>
        <v>1706.1840000000002</v>
      </c>
      <c r="I5" s="54">
        <f>SUM(B:B)</f>
        <v>5818.3894999999993</v>
      </c>
      <c r="J5" s="56">
        <f>AVERAGE(B:B)</f>
        <v>447.56842307692301</v>
      </c>
      <c r="K5" s="24">
        <f>COUNT(B:B)</f>
        <v>13</v>
      </c>
    </row>
    <row r="6" spans="2:11" ht="15.75" customHeight="1" x14ac:dyDescent="0.3">
      <c r="B6" s="30">
        <v>261.95999999999998</v>
      </c>
      <c r="C6" s="21">
        <v>2</v>
      </c>
      <c r="D6" s="21">
        <f>Table4[[#This Row],[Sales]]*Table4[[#This Row],[Quantity]]</f>
        <v>523.91999999999996</v>
      </c>
      <c r="F6" s="127" t="s">
        <v>133</v>
      </c>
      <c r="G6" s="130">
        <f>ROUND(G5,1)</f>
        <v>7.3</v>
      </c>
      <c r="H6" s="130">
        <f>ROUND(H5,1)</f>
        <v>1706.2</v>
      </c>
      <c r="I6" s="130">
        <f>ROUND(I5,1)</f>
        <v>5818.4</v>
      </c>
      <c r="J6" s="130">
        <f>ROUND(J5,1)</f>
        <v>447.6</v>
      </c>
      <c r="K6" s="131"/>
    </row>
    <row r="7" spans="2:11" ht="15.6" x14ac:dyDescent="0.3">
      <c r="B7" s="30">
        <v>731.93999999999994</v>
      </c>
      <c r="C7" s="21">
        <v>3</v>
      </c>
      <c r="D7" s="21">
        <f>Table4[[#This Row],[Sales]]*Table4[[#This Row],[Quantity]]</f>
        <v>2195.8199999999997</v>
      </c>
      <c r="F7" s="128"/>
      <c r="G7" s="130"/>
      <c r="H7" s="130"/>
      <c r="I7" s="130"/>
      <c r="J7" s="130"/>
      <c r="K7" s="131"/>
    </row>
    <row r="8" spans="2:11" ht="16.2" thickBot="1" x14ac:dyDescent="0.35">
      <c r="B8" s="63">
        <v>14.62</v>
      </c>
      <c r="C8" s="64">
        <v>2</v>
      </c>
      <c r="D8" s="64">
        <f>Table4[[#This Row],[Sales]]*Table4[[#This Row],[Quantity]]</f>
        <v>29.24</v>
      </c>
      <c r="F8" s="129"/>
      <c r="G8" s="130"/>
      <c r="H8" s="130"/>
      <c r="I8" s="130"/>
      <c r="J8" s="130"/>
      <c r="K8" s="131"/>
    </row>
    <row r="9" spans="2:11" ht="16.2" thickBot="1" x14ac:dyDescent="0.35">
      <c r="B9" s="30">
        <v>957.57749999999999</v>
      </c>
      <c r="C9" s="21">
        <v>5</v>
      </c>
      <c r="D9" s="21">
        <f>Table4[[#This Row],[Sales]]*Table4[[#This Row],[Quantity]]</f>
        <v>4787.8874999999998</v>
      </c>
      <c r="F9" s="82" t="s">
        <v>41</v>
      </c>
      <c r="G9" s="54">
        <f>ROUNDDOWN(G7,1)</f>
        <v>0</v>
      </c>
      <c r="H9" s="54">
        <f t="shared" ref="H9:J9" si="0">ROUNDDOWN(H7,1)</f>
        <v>0</v>
      </c>
      <c r="I9" s="54">
        <f t="shared" si="0"/>
        <v>0</v>
      </c>
      <c r="J9" s="54">
        <f t="shared" si="0"/>
        <v>0</v>
      </c>
      <c r="K9" s="44"/>
    </row>
    <row r="10" spans="2:11" ht="16.2" thickBot="1" x14ac:dyDescent="0.35">
      <c r="B10" s="30">
        <v>22.368000000000002</v>
      </c>
      <c r="C10" s="21">
        <v>2</v>
      </c>
      <c r="D10" s="21">
        <f>Table4[[#This Row],[Sales]]*Table4[[#This Row],[Quantity]]</f>
        <v>44.736000000000004</v>
      </c>
      <c r="F10" s="81" t="s">
        <v>42</v>
      </c>
      <c r="G10" s="55">
        <f>ROUNDUP(G7,1)</f>
        <v>0</v>
      </c>
      <c r="H10" s="55">
        <f t="shared" ref="H10:J10" si="1">ROUNDUP(H7,1)</f>
        <v>0</v>
      </c>
      <c r="I10" s="55">
        <f t="shared" si="1"/>
        <v>0</v>
      </c>
      <c r="J10" s="55">
        <f t="shared" si="1"/>
        <v>0</v>
      </c>
      <c r="K10" s="45"/>
    </row>
    <row r="11" spans="2:11" ht="16.2" thickBot="1" x14ac:dyDescent="0.35">
      <c r="B11" s="30">
        <v>48.86</v>
      </c>
      <c r="C11" s="21">
        <v>7</v>
      </c>
      <c r="D11" s="21">
        <f>Table4[[#This Row],[Sales]]*Table4[[#This Row],[Quantity]]</f>
        <v>342.02</v>
      </c>
    </row>
    <row r="12" spans="2:11" ht="15.6" x14ac:dyDescent="0.3">
      <c r="B12" s="30">
        <v>7.28</v>
      </c>
      <c r="C12" s="21">
        <v>4</v>
      </c>
      <c r="D12" s="21">
        <f>Table4[[#This Row],[Sales]]*Table4[[#This Row],[Quantity]]</f>
        <v>29.12</v>
      </c>
      <c r="F12" s="132" t="s">
        <v>71</v>
      </c>
      <c r="G12" s="133"/>
      <c r="H12" s="133"/>
      <c r="I12" s="133"/>
      <c r="J12" s="133"/>
      <c r="K12" s="134"/>
    </row>
    <row r="13" spans="2:11" ht="16.2" thickBot="1" x14ac:dyDescent="0.35">
      <c r="B13" s="30">
        <v>907.15200000000004</v>
      </c>
      <c r="C13" s="21">
        <v>6</v>
      </c>
      <c r="D13" s="21">
        <f>Table4[[#This Row],[Sales]]*Table4[[#This Row],[Quantity]]</f>
        <v>5442.9120000000003</v>
      </c>
      <c r="F13" s="135"/>
      <c r="G13" s="136"/>
      <c r="H13" s="136"/>
      <c r="I13" s="136"/>
      <c r="J13" s="136"/>
      <c r="K13" s="137"/>
    </row>
    <row r="14" spans="2:11" ht="16.2" thickBot="1" x14ac:dyDescent="0.35">
      <c r="B14" s="30">
        <v>18.504000000000001</v>
      </c>
      <c r="C14" s="21">
        <v>3</v>
      </c>
      <c r="D14" s="21">
        <f>Table4[[#This Row],[Sales]]*Table4[[#This Row],[Quantity]]</f>
        <v>55.512</v>
      </c>
      <c r="F14" s="79" t="s">
        <v>72</v>
      </c>
      <c r="G14" s="139" t="s">
        <v>75</v>
      </c>
      <c r="H14" s="140"/>
      <c r="I14" s="140"/>
      <c r="J14" s="140"/>
      <c r="K14" s="141"/>
    </row>
    <row r="15" spans="2:11" ht="15.75" customHeight="1" thickBot="1" x14ac:dyDescent="0.35">
      <c r="B15" s="30">
        <v>114.9</v>
      </c>
      <c r="C15" s="21">
        <v>5</v>
      </c>
      <c r="D15" s="21">
        <f>Table4[[#This Row],[Sales]]*Table4[[#This Row],[Quantity]]</f>
        <v>574.5</v>
      </c>
      <c r="F15" s="76" t="s">
        <v>73</v>
      </c>
      <c r="G15" s="142" t="s">
        <v>76</v>
      </c>
      <c r="H15" s="143"/>
      <c r="I15" s="143"/>
      <c r="J15" s="143"/>
      <c r="K15" s="144"/>
    </row>
    <row r="16" spans="2:11" ht="15.6" x14ac:dyDescent="0.3">
      <c r="B16" s="30">
        <v>1706.1840000000002</v>
      </c>
      <c r="C16" s="21">
        <v>9</v>
      </c>
      <c r="D16" s="21">
        <f>Table4[[#This Row],[Sales]]*Table4[[#This Row],[Quantity]]</f>
        <v>15355.656000000003</v>
      </c>
      <c r="F16" s="145" t="s">
        <v>74</v>
      </c>
      <c r="G16" s="147" t="s">
        <v>77</v>
      </c>
      <c r="H16" s="148"/>
      <c r="I16" s="148"/>
      <c r="J16" s="148"/>
      <c r="K16" s="149"/>
    </row>
    <row r="17" spans="2:11" ht="16.2" thickBot="1" x14ac:dyDescent="0.35">
      <c r="B17" s="30">
        <v>911.42399999999998</v>
      </c>
      <c r="C17" s="21">
        <v>4</v>
      </c>
      <c r="D17" s="21">
        <f>Table4[[#This Row],[Sales]]*Table4[[#This Row],[Quantity]]</f>
        <v>3645.6959999999999</v>
      </c>
      <c r="F17" s="146"/>
      <c r="G17" s="147"/>
      <c r="H17" s="148"/>
      <c r="I17" s="148"/>
      <c r="J17" s="148"/>
      <c r="K17" s="149"/>
    </row>
    <row r="18" spans="2:11" ht="16.2" thickBot="1" x14ac:dyDescent="0.35">
      <c r="B18" s="15">
        <v>115.62</v>
      </c>
      <c r="C18" s="32">
        <v>5</v>
      </c>
      <c r="D18" s="32">
        <f>Table4[[#This Row],[Sales]]*Table4[[#This Row],[Quantity]]</f>
        <v>578.1</v>
      </c>
      <c r="F18" s="80" t="s">
        <v>80</v>
      </c>
      <c r="G18" s="150" t="s">
        <v>79</v>
      </c>
      <c r="H18" s="151"/>
      <c r="I18" s="151"/>
      <c r="J18" s="151"/>
      <c r="K18" s="152"/>
    </row>
    <row r="19" spans="2:11" ht="15.6" x14ac:dyDescent="0.3">
      <c r="B19" s="15"/>
      <c r="C19" s="32"/>
      <c r="D19" s="32"/>
    </row>
    <row r="20" spans="2:11" ht="15.6" x14ac:dyDescent="0.3">
      <c r="B20" s="15"/>
      <c r="C20" s="32"/>
      <c r="D20" s="32"/>
    </row>
    <row r="21" spans="2:11" x14ac:dyDescent="0.3">
      <c r="G21"/>
      <c r="H21"/>
      <c r="I21"/>
      <c r="J21"/>
    </row>
    <row r="22" spans="2:11" x14ac:dyDescent="0.3">
      <c r="G22"/>
      <c r="H22"/>
      <c r="I22"/>
      <c r="J22"/>
    </row>
    <row r="23" spans="2:11" x14ac:dyDescent="0.3">
      <c r="G23"/>
      <c r="H23"/>
      <c r="I23"/>
      <c r="J23"/>
    </row>
    <row r="24" spans="2:11" x14ac:dyDescent="0.3">
      <c r="G24"/>
      <c r="H24"/>
      <c r="I24"/>
      <c r="J24"/>
    </row>
    <row r="25" spans="2:11" x14ac:dyDescent="0.3">
      <c r="G25"/>
      <c r="H25"/>
      <c r="I25"/>
      <c r="J25"/>
    </row>
    <row r="26" spans="2:11" x14ac:dyDescent="0.3">
      <c r="G26"/>
      <c r="H26"/>
      <c r="I26"/>
      <c r="J26"/>
    </row>
    <row r="27" spans="2:11" x14ac:dyDescent="0.3">
      <c r="G27"/>
      <c r="H27"/>
      <c r="I27"/>
      <c r="J27"/>
    </row>
    <row r="28" spans="2:11" x14ac:dyDescent="0.3">
      <c r="G28"/>
      <c r="H28"/>
      <c r="I28"/>
      <c r="J28"/>
    </row>
    <row r="29" spans="2:11" x14ac:dyDescent="0.3">
      <c r="G29"/>
      <c r="H29"/>
      <c r="I29"/>
      <c r="J29"/>
    </row>
    <row r="30" spans="2:11" x14ac:dyDescent="0.3">
      <c r="G30"/>
      <c r="H30"/>
      <c r="I30"/>
      <c r="J30"/>
    </row>
    <row r="31" spans="2:11" x14ac:dyDescent="0.3">
      <c r="G31"/>
      <c r="H31"/>
      <c r="I31"/>
      <c r="J31"/>
    </row>
    <row r="32" spans="2:11" x14ac:dyDescent="0.3">
      <c r="G32"/>
      <c r="H32"/>
      <c r="I32"/>
      <c r="J32"/>
    </row>
    <row r="33" spans="5:5" customFormat="1" x14ac:dyDescent="0.3">
      <c r="E33" s="138"/>
    </row>
    <row r="34" spans="5:5" customFormat="1" x14ac:dyDescent="0.3">
      <c r="E34" s="138"/>
    </row>
    <row r="35" spans="5:5" customFormat="1" x14ac:dyDescent="0.3">
      <c r="E35" s="138"/>
    </row>
    <row r="36" spans="5:5" customFormat="1" x14ac:dyDescent="0.3">
      <c r="E36" s="138"/>
    </row>
    <row r="37" spans="5:5" customFormat="1" x14ac:dyDescent="0.3">
      <c r="E37" s="138"/>
    </row>
  </sheetData>
  <mergeCells count="15">
    <mergeCell ref="I6:I8"/>
    <mergeCell ref="J6:J8"/>
    <mergeCell ref="K6:K8"/>
    <mergeCell ref="F12:K13"/>
    <mergeCell ref="E1:E1048576"/>
    <mergeCell ref="G14:K14"/>
    <mergeCell ref="G15:K15"/>
    <mergeCell ref="F16:F17"/>
    <mergeCell ref="G16:K17"/>
    <mergeCell ref="G18:K18"/>
    <mergeCell ref="B3:D4"/>
    <mergeCell ref="F3:F5"/>
    <mergeCell ref="F6:F8"/>
    <mergeCell ref="G6:G8"/>
    <mergeCell ref="H6:H8"/>
  </mergeCells>
  <hyperlinks>
    <hyperlink ref="F18" r:id="rId1" display="*@[Quantity]" xr:uid="{453189C0-0E5B-44A8-A811-FB209DFE92E7}"/>
  </hyperlinks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DFC0-4C52-4A25-AC81-96B42121AE68}">
  <dimension ref="B2:J30"/>
  <sheetViews>
    <sheetView zoomScale="110" zoomScaleNormal="110" workbookViewId="0">
      <selection activeCell="E16" sqref="E16"/>
    </sheetView>
  </sheetViews>
  <sheetFormatPr defaultRowHeight="14.4" x14ac:dyDescent="0.3"/>
  <cols>
    <col min="1" max="1" width="4.6640625" customWidth="1"/>
    <col min="2" max="2" width="102" customWidth="1"/>
    <col min="3" max="3" width="4.44140625" style="138" customWidth="1"/>
    <col min="4" max="4" width="16" customWidth="1"/>
    <col min="5" max="5" width="18.5546875" customWidth="1"/>
    <col min="6" max="6" width="15.109375" customWidth="1"/>
    <col min="7" max="7" width="21.88671875" customWidth="1"/>
    <col min="8" max="8" width="4" style="138" customWidth="1"/>
    <col min="9" max="9" width="28.44140625" customWidth="1"/>
    <col min="10" max="10" width="16.88671875" customWidth="1"/>
  </cols>
  <sheetData>
    <row r="2" spans="2:10" ht="15" thickBot="1" x14ac:dyDescent="0.35"/>
    <row r="3" spans="2:10" ht="15" customHeight="1" thickBot="1" x14ac:dyDescent="0.35">
      <c r="B3" s="75" t="s">
        <v>115</v>
      </c>
      <c r="D3" s="98" t="s">
        <v>4</v>
      </c>
      <c r="E3" s="98" t="s">
        <v>5</v>
      </c>
      <c r="F3" s="99" t="s">
        <v>6</v>
      </c>
      <c r="G3" s="98" t="s">
        <v>7</v>
      </c>
      <c r="I3" s="153" t="s">
        <v>138</v>
      </c>
      <c r="J3" s="154"/>
    </row>
    <row r="4" spans="2:10" ht="15.75" customHeight="1" x14ac:dyDescent="0.3">
      <c r="B4" s="76" t="s">
        <v>116</v>
      </c>
      <c r="D4" s="1">
        <v>4</v>
      </c>
      <c r="E4" s="1" t="s">
        <v>14</v>
      </c>
      <c r="F4" s="2">
        <v>41799</v>
      </c>
      <c r="G4" s="1" t="s">
        <v>15</v>
      </c>
      <c r="I4" s="31" t="s">
        <v>141</v>
      </c>
      <c r="J4" s="86" t="s">
        <v>143</v>
      </c>
    </row>
    <row r="5" spans="2:10" ht="17.25" customHeight="1" thickBot="1" x14ac:dyDescent="0.35">
      <c r="B5" s="84" t="s">
        <v>136</v>
      </c>
      <c r="D5" s="1">
        <v>3</v>
      </c>
      <c r="E5" s="1" t="s">
        <v>12</v>
      </c>
      <c r="F5" s="2">
        <v>42288</v>
      </c>
      <c r="G5" s="1" t="s">
        <v>13</v>
      </c>
      <c r="I5" s="7" t="s">
        <v>18</v>
      </c>
      <c r="J5" s="9" t="str">
        <f>VLOOKUP($I$5,E3:G9, 3,FALSE)</f>
        <v>Irene Maddox</v>
      </c>
    </row>
    <row r="6" spans="2:10" ht="12.75" customHeight="1" x14ac:dyDescent="0.3">
      <c r="B6" s="44" t="s">
        <v>155</v>
      </c>
      <c r="D6" s="1">
        <v>2</v>
      </c>
      <c r="E6" s="1" t="s">
        <v>10</v>
      </c>
      <c r="F6" s="2">
        <v>42533</v>
      </c>
      <c r="G6" s="1" t="s">
        <v>11</v>
      </c>
    </row>
    <row r="7" spans="2:10" ht="15" thickBot="1" x14ac:dyDescent="0.35">
      <c r="B7" s="44" t="s">
        <v>134</v>
      </c>
      <c r="D7" s="1">
        <v>1</v>
      </c>
      <c r="E7" s="1" t="s">
        <v>8</v>
      </c>
      <c r="F7" s="2">
        <v>42682</v>
      </c>
      <c r="G7" s="1" t="s">
        <v>9</v>
      </c>
    </row>
    <row r="8" spans="2:10" x14ac:dyDescent="0.3">
      <c r="B8" s="44" t="s">
        <v>135</v>
      </c>
      <c r="D8" s="1">
        <v>6</v>
      </c>
      <c r="E8" s="1" t="s">
        <v>18</v>
      </c>
      <c r="F8" s="2">
        <v>42709</v>
      </c>
      <c r="G8" s="1" t="s">
        <v>19</v>
      </c>
      <c r="I8" s="153" t="s">
        <v>117</v>
      </c>
      <c r="J8" s="154"/>
    </row>
    <row r="9" spans="2:10" ht="15" thickBot="1" x14ac:dyDescent="0.35">
      <c r="B9" s="45" t="s">
        <v>139</v>
      </c>
      <c r="D9" s="1">
        <v>5</v>
      </c>
      <c r="E9" s="1" t="s">
        <v>16</v>
      </c>
      <c r="F9" s="2">
        <v>42840</v>
      </c>
      <c r="G9" s="1" t="s">
        <v>17</v>
      </c>
      <c r="I9" s="31" t="s">
        <v>142</v>
      </c>
      <c r="J9" s="87" t="s">
        <v>143</v>
      </c>
    </row>
    <row r="10" spans="2:10" ht="15" thickBot="1" x14ac:dyDescent="0.35">
      <c r="B10" s="1"/>
      <c r="D10" s="1"/>
      <c r="E10" s="1"/>
      <c r="F10" s="2"/>
      <c r="G10" s="1"/>
      <c r="I10" s="85">
        <v>3</v>
      </c>
      <c r="J10" s="9" t="str">
        <f>HLOOKUP("Customer Name",E3:G9, $I$10+1, FALSE)</f>
        <v>Darrin Van Huff</v>
      </c>
    </row>
    <row r="11" spans="2:10" ht="15" thickBot="1" x14ac:dyDescent="0.35"/>
    <row r="12" spans="2:10" ht="15" thickBot="1" x14ac:dyDescent="0.35">
      <c r="B12" s="75" t="s">
        <v>117</v>
      </c>
      <c r="D12" s="1"/>
      <c r="E12" s="1"/>
      <c r="F12" s="2"/>
      <c r="G12" s="1"/>
    </row>
    <row r="13" spans="2:10" ht="15" customHeight="1" x14ac:dyDescent="0.3">
      <c r="B13" s="76" t="s">
        <v>118</v>
      </c>
      <c r="D13" s="1"/>
      <c r="E13" s="1"/>
      <c r="F13" s="2"/>
      <c r="G13" s="1"/>
      <c r="I13" s="153" t="s">
        <v>144</v>
      </c>
      <c r="J13" s="154"/>
    </row>
    <row r="14" spans="2:10" ht="15.75" customHeight="1" x14ac:dyDescent="0.3">
      <c r="B14" s="155" t="s">
        <v>146</v>
      </c>
      <c r="D14" s="1"/>
      <c r="E14" s="1"/>
      <c r="F14" s="2"/>
      <c r="G14" s="1"/>
      <c r="I14" s="31" t="s">
        <v>153</v>
      </c>
      <c r="J14" s="87" t="s">
        <v>154</v>
      </c>
    </row>
    <row r="15" spans="2:10" ht="15" thickBot="1" x14ac:dyDescent="0.35">
      <c r="B15" s="155"/>
      <c r="D15" s="1"/>
      <c r="E15" s="1"/>
      <c r="F15" s="2"/>
      <c r="G15" s="1"/>
      <c r="I15" s="7" t="s">
        <v>9</v>
      </c>
      <c r="J15" s="9" t="str">
        <f>_xlfn.XLOOKUP($I$15,G4:G9, E4:E9)</f>
        <v>CA-2016-152156</v>
      </c>
    </row>
    <row r="16" spans="2:10" x14ac:dyDescent="0.3">
      <c r="B16" s="44" t="s">
        <v>155</v>
      </c>
      <c r="D16" s="1"/>
      <c r="E16" s="1"/>
      <c r="F16" s="2"/>
      <c r="G16" s="1"/>
    </row>
    <row r="17" spans="2:2" x14ac:dyDescent="0.3">
      <c r="B17" s="44" t="s">
        <v>137</v>
      </c>
    </row>
    <row r="18" spans="2:2" x14ac:dyDescent="0.3">
      <c r="B18" s="44" t="s">
        <v>135</v>
      </c>
    </row>
    <row r="19" spans="2:2" ht="15" thickBot="1" x14ac:dyDescent="0.35">
      <c r="B19" s="45" t="s">
        <v>140</v>
      </c>
    </row>
    <row r="21" spans="2:2" ht="15" thickBot="1" x14ac:dyDescent="0.35"/>
    <row r="22" spans="2:2" ht="15" thickBot="1" x14ac:dyDescent="0.35">
      <c r="B22" s="75" t="s">
        <v>144</v>
      </c>
    </row>
    <row r="23" spans="2:2" x14ac:dyDescent="0.3">
      <c r="B23" s="76" t="s">
        <v>145</v>
      </c>
    </row>
    <row r="24" spans="2:2" x14ac:dyDescent="0.3">
      <c r="B24" s="83" t="s">
        <v>147</v>
      </c>
    </row>
    <row r="25" spans="2:2" x14ac:dyDescent="0.3">
      <c r="B25" s="83" t="s">
        <v>148</v>
      </c>
    </row>
    <row r="26" spans="2:2" ht="17.25" customHeight="1" x14ac:dyDescent="0.3">
      <c r="B26" s="155" t="s">
        <v>149</v>
      </c>
    </row>
    <row r="27" spans="2:2" x14ac:dyDescent="0.3">
      <c r="B27" s="155"/>
    </row>
    <row r="28" spans="2:2" x14ac:dyDescent="0.3">
      <c r="B28" s="44" t="s">
        <v>150</v>
      </c>
    </row>
    <row r="29" spans="2:2" x14ac:dyDescent="0.3">
      <c r="B29" s="44" t="s">
        <v>151</v>
      </c>
    </row>
    <row r="30" spans="2:2" ht="15" thickBot="1" x14ac:dyDescent="0.35">
      <c r="B30" s="45" t="s">
        <v>152</v>
      </c>
    </row>
  </sheetData>
  <mergeCells count="7">
    <mergeCell ref="I3:J3"/>
    <mergeCell ref="I8:J8"/>
    <mergeCell ref="B26:B27"/>
    <mergeCell ref="I13:J13"/>
    <mergeCell ref="C1:C1048576"/>
    <mergeCell ref="H1:H1048576"/>
    <mergeCell ref="B14:B15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0"/>
  <sheetViews>
    <sheetView workbookViewId="0">
      <selection activeCell="J23" activeCellId="4" sqref="F23:F24 G23:G24 H23:H24 I23:I24 J23:J24"/>
    </sheetView>
  </sheetViews>
  <sheetFormatPr defaultRowHeight="14.4" x14ac:dyDescent="0.3"/>
  <cols>
    <col min="1" max="1" width="5.33203125" customWidth="1"/>
    <col min="2" max="2" width="7.109375" bestFit="1" customWidth="1"/>
    <col min="3" max="3" width="15" bestFit="1" customWidth="1"/>
    <col min="4" max="4" width="10.6640625" bestFit="1" customWidth="1"/>
    <col min="5" max="5" width="15.88671875" bestFit="1" customWidth="1"/>
    <col min="6" max="6" width="27" customWidth="1"/>
    <col min="7" max="7" width="30.6640625" customWidth="1"/>
    <col min="8" max="8" width="27" customWidth="1"/>
    <col min="9" max="9" width="44" customWidth="1"/>
    <col min="10" max="10" width="49" customWidth="1"/>
    <col min="11" max="11" width="20.44140625" customWidth="1"/>
    <col min="12" max="12" width="19.44140625" customWidth="1"/>
    <col min="13" max="13" width="12.44140625" style="36" customWidth="1"/>
  </cols>
  <sheetData>
    <row r="2" spans="2:14" ht="15" thickBot="1" x14ac:dyDescent="0.35"/>
    <row r="3" spans="2:14" ht="17.25" customHeight="1" thickBot="1" x14ac:dyDescent="0.35">
      <c r="B3" s="72" t="s">
        <v>119</v>
      </c>
      <c r="C3" s="73"/>
      <c r="D3" s="73"/>
      <c r="E3" s="74"/>
      <c r="F3" s="89" t="s">
        <v>0</v>
      </c>
      <c r="G3" s="89" t="s">
        <v>85</v>
      </c>
      <c r="H3" s="89" t="s">
        <v>1</v>
      </c>
      <c r="I3" s="89" t="s">
        <v>87</v>
      </c>
      <c r="J3" s="89" t="s">
        <v>86</v>
      </c>
      <c r="K3" s="89" t="s">
        <v>2</v>
      </c>
      <c r="L3" s="89" t="s">
        <v>3</v>
      </c>
      <c r="M3" s="90" t="s">
        <v>82</v>
      </c>
      <c r="N3" s="3"/>
    </row>
    <row r="4" spans="2:14" x14ac:dyDescent="0.3">
      <c r="B4" s="16" t="s">
        <v>4</v>
      </c>
      <c r="C4" s="17" t="s">
        <v>5</v>
      </c>
      <c r="D4" s="18" t="s">
        <v>6</v>
      </c>
      <c r="E4" s="17" t="s">
        <v>7</v>
      </c>
      <c r="F4" s="43" t="s">
        <v>89</v>
      </c>
      <c r="G4" s="43" t="s">
        <v>88</v>
      </c>
      <c r="H4" s="43" t="s">
        <v>90</v>
      </c>
      <c r="I4" s="43" t="s">
        <v>91</v>
      </c>
      <c r="J4" s="43" t="s">
        <v>92</v>
      </c>
      <c r="K4" s="43" t="s">
        <v>93</v>
      </c>
      <c r="L4" s="43" t="s">
        <v>94</v>
      </c>
      <c r="M4" s="33" t="s">
        <v>95</v>
      </c>
      <c r="N4" s="4"/>
    </row>
    <row r="5" spans="2:14" x14ac:dyDescent="0.3">
      <c r="B5" s="5">
        <v>1</v>
      </c>
      <c r="C5" s="1" t="s">
        <v>8</v>
      </c>
      <c r="D5" s="2">
        <v>42682</v>
      </c>
      <c r="E5" s="1" t="s">
        <v>9</v>
      </c>
      <c r="F5" s="44" t="str">
        <f t="shared" ref="F5:F19" si="0">LEFT(C5,2)</f>
        <v>CA</v>
      </c>
      <c r="G5" s="44" t="str">
        <f>MID(C5,4,4)</f>
        <v>2016</v>
      </c>
      <c r="H5" s="46" t="str">
        <f t="shared" ref="H5:H19" si="1">RIGHT(C5,6)</f>
        <v>152156</v>
      </c>
      <c r="I5" s="46" t="str">
        <f>_xlfn.CONCAT(G5,"_",H5)</f>
        <v>2016_152156</v>
      </c>
      <c r="J5" s="46" t="str">
        <f>_xlfn.TEXTJOIN("/",TRUE,G5,H5)</f>
        <v>2016/152156</v>
      </c>
      <c r="K5" s="44" t="str">
        <f t="shared" ref="K5:K19" si="2">UPPER(E5)</f>
        <v>CLAIRE GUTE</v>
      </c>
      <c r="L5" s="44" t="str">
        <f t="shared" ref="L5:L19" si="3">LOWER(E5)</f>
        <v>claire gute</v>
      </c>
      <c r="M5" s="34">
        <f>LEN(E4)</f>
        <v>13</v>
      </c>
    </row>
    <row r="6" spans="2:14" x14ac:dyDescent="0.3">
      <c r="B6" s="5">
        <v>2</v>
      </c>
      <c r="C6" s="1" t="s">
        <v>8</v>
      </c>
      <c r="D6" s="2">
        <v>42682</v>
      </c>
      <c r="E6" s="1" t="s">
        <v>9</v>
      </c>
      <c r="F6" s="44" t="str">
        <f t="shared" si="0"/>
        <v>CA</v>
      </c>
      <c r="G6" s="44" t="str">
        <f t="shared" ref="G6:G19" si="4">MID(C6,4,4)</f>
        <v>2016</v>
      </c>
      <c r="H6" s="46" t="str">
        <f t="shared" si="1"/>
        <v>152156</v>
      </c>
      <c r="I6" s="46" t="str">
        <f t="shared" ref="I6:I19" si="5">_xlfn.CONCAT(G6,"_",H6)</f>
        <v>2016_152156</v>
      </c>
      <c r="J6" s="46" t="str">
        <f t="shared" ref="J6:J19" si="6">_xlfn.TEXTJOIN("/",TRUE,G6,H6)</f>
        <v>2016/152156</v>
      </c>
      <c r="K6" s="44" t="str">
        <f t="shared" si="2"/>
        <v>CLAIRE GUTE</v>
      </c>
      <c r="L6" s="44" t="str">
        <f t="shared" si="3"/>
        <v>claire gute</v>
      </c>
      <c r="M6" s="34">
        <f t="shared" ref="M6:M19" si="7">LEN(E5)</f>
        <v>11</v>
      </c>
    </row>
    <row r="7" spans="2:14" x14ac:dyDescent="0.3">
      <c r="B7" s="5">
        <v>3</v>
      </c>
      <c r="C7" s="1" t="s">
        <v>10</v>
      </c>
      <c r="D7" s="2">
        <v>42533</v>
      </c>
      <c r="E7" s="1" t="s">
        <v>11</v>
      </c>
      <c r="F7" s="44" t="str">
        <f t="shared" si="0"/>
        <v>CA</v>
      </c>
      <c r="G7" s="44" t="str">
        <f t="shared" si="4"/>
        <v>2016</v>
      </c>
      <c r="H7" s="46" t="str">
        <f t="shared" si="1"/>
        <v>138688</v>
      </c>
      <c r="I7" s="46" t="str">
        <f t="shared" si="5"/>
        <v>2016_138688</v>
      </c>
      <c r="J7" s="46" t="str">
        <f t="shared" si="6"/>
        <v>2016/138688</v>
      </c>
      <c r="K7" s="44" t="str">
        <f t="shared" si="2"/>
        <v>DARRIN VAN HUFF</v>
      </c>
      <c r="L7" s="44" t="str">
        <f t="shared" si="3"/>
        <v>darrin van huff</v>
      </c>
      <c r="M7" s="34">
        <f t="shared" si="7"/>
        <v>11</v>
      </c>
    </row>
    <row r="8" spans="2:14" x14ac:dyDescent="0.3">
      <c r="B8" s="5">
        <v>4</v>
      </c>
      <c r="C8" s="1" t="s">
        <v>12</v>
      </c>
      <c r="D8" s="2">
        <v>42288</v>
      </c>
      <c r="E8" s="1" t="s">
        <v>13</v>
      </c>
      <c r="F8" s="44" t="str">
        <f t="shared" si="0"/>
        <v>US</v>
      </c>
      <c r="G8" s="44" t="str">
        <f t="shared" si="4"/>
        <v>2015</v>
      </c>
      <c r="H8" s="46" t="str">
        <f t="shared" si="1"/>
        <v>108966</v>
      </c>
      <c r="I8" s="46" t="str">
        <f t="shared" si="5"/>
        <v>2015_108966</v>
      </c>
      <c r="J8" s="46" t="str">
        <f t="shared" si="6"/>
        <v>2015/108966</v>
      </c>
      <c r="K8" s="44" t="str">
        <f t="shared" si="2"/>
        <v>SEAN O'DONNELL</v>
      </c>
      <c r="L8" s="44" t="str">
        <f t="shared" si="3"/>
        <v>sean o'donnell</v>
      </c>
      <c r="M8" s="34">
        <f t="shared" si="7"/>
        <v>15</v>
      </c>
    </row>
    <row r="9" spans="2:14" x14ac:dyDescent="0.3">
      <c r="B9" s="5">
        <v>5</v>
      </c>
      <c r="C9" s="1" t="s">
        <v>12</v>
      </c>
      <c r="D9" s="2">
        <v>42288</v>
      </c>
      <c r="E9" s="1" t="s">
        <v>13</v>
      </c>
      <c r="F9" s="44" t="str">
        <f t="shared" si="0"/>
        <v>US</v>
      </c>
      <c r="G9" s="44" t="str">
        <f t="shared" si="4"/>
        <v>2015</v>
      </c>
      <c r="H9" s="46" t="str">
        <f t="shared" si="1"/>
        <v>108966</v>
      </c>
      <c r="I9" s="46" t="str">
        <f t="shared" si="5"/>
        <v>2015_108966</v>
      </c>
      <c r="J9" s="46" t="str">
        <f t="shared" si="6"/>
        <v>2015/108966</v>
      </c>
      <c r="K9" s="44" t="str">
        <f t="shared" si="2"/>
        <v>SEAN O'DONNELL</v>
      </c>
      <c r="L9" s="44" t="str">
        <f t="shared" si="3"/>
        <v>sean o'donnell</v>
      </c>
      <c r="M9" s="34">
        <f t="shared" si="7"/>
        <v>14</v>
      </c>
    </row>
    <row r="10" spans="2:14" x14ac:dyDescent="0.3">
      <c r="B10" s="5">
        <v>6</v>
      </c>
      <c r="C10" s="1" t="s">
        <v>14</v>
      </c>
      <c r="D10" s="2">
        <v>41799</v>
      </c>
      <c r="E10" s="1" t="s">
        <v>15</v>
      </c>
      <c r="F10" s="44" t="str">
        <f t="shared" si="0"/>
        <v>CA</v>
      </c>
      <c r="G10" s="44" t="str">
        <f t="shared" si="4"/>
        <v>2014</v>
      </c>
      <c r="H10" s="46" t="str">
        <f t="shared" si="1"/>
        <v>115812</v>
      </c>
      <c r="I10" s="46" t="str">
        <f t="shared" si="5"/>
        <v>2014_115812</v>
      </c>
      <c r="J10" s="46" t="str">
        <f t="shared" si="6"/>
        <v>2014/115812</v>
      </c>
      <c r="K10" s="44" t="str">
        <f t="shared" si="2"/>
        <v>BROSINA HOFFMAN</v>
      </c>
      <c r="L10" s="44" t="str">
        <f t="shared" si="3"/>
        <v>brosina hoffman</v>
      </c>
      <c r="M10" s="34">
        <f t="shared" si="7"/>
        <v>14</v>
      </c>
    </row>
    <row r="11" spans="2:14" x14ac:dyDescent="0.3">
      <c r="B11" s="5">
        <v>7</v>
      </c>
      <c r="C11" s="1" t="s">
        <v>14</v>
      </c>
      <c r="D11" s="2">
        <v>41799</v>
      </c>
      <c r="E11" s="1" t="s">
        <v>15</v>
      </c>
      <c r="F11" s="44" t="str">
        <f t="shared" si="0"/>
        <v>CA</v>
      </c>
      <c r="G11" s="44" t="str">
        <f t="shared" si="4"/>
        <v>2014</v>
      </c>
      <c r="H11" s="46" t="str">
        <f t="shared" si="1"/>
        <v>115812</v>
      </c>
      <c r="I11" s="46" t="str">
        <f t="shared" si="5"/>
        <v>2014_115812</v>
      </c>
      <c r="J11" s="46" t="str">
        <f t="shared" si="6"/>
        <v>2014/115812</v>
      </c>
      <c r="K11" s="44" t="str">
        <f t="shared" si="2"/>
        <v>BROSINA HOFFMAN</v>
      </c>
      <c r="L11" s="44" t="str">
        <f t="shared" si="3"/>
        <v>brosina hoffman</v>
      </c>
      <c r="M11" s="34">
        <f t="shared" si="7"/>
        <v>15</v>
      </c>
    </row>
    <row r="12" spans="2:14" x14ac:dyDescent="0.3">
      <c r="B12" s="5">
        <v>8</v>
      </c>
      <c r="C12" s="1" t="s">
        <v>14</v>
      </c>
      <c r="D12" s="2">
        <v>41799</v>
      </c>
      <c r="E12" s="1" t="s">
        <v>15</v>
      </c>
      <c r="F12" s="44" t="str">
        <f t="shared" si="0"/>
        <v>CA</v>
      </c>
      <c r="G12" s="44" t="str">
        <f t="shared" si="4"/>
        <v>2014</v>
      </c>
      <c r="H12" s="46" t="str">
        <f t="shared" si="1"/>
        <v>115812</v>
      </c>
      <c r="I12" s="46" t="str">
        <f t="shared" si="5"/>
        <v>2014_115812</v>
      </c>
      <c r="J12" s="46" t="str">
        <f t="shared" si="6"/>
        <v>2014/115812</v>
      </c>
      <c r="K12" s="44" t="str">
        <f t="shared" si="2"/>
        <v>BROSINA HOFFMAN</v>
      </c>
      <c r="L12" s="44" t="str">
        <f t="shared" si="3"/>
        <v>brosina hoffman</v>
      </c>
      <c r="M12" s="34">
        <f t="shared" si="7"/>
        <v>15</v>
      </c>
    </row>
    <row r="13" spans="2:14" x14ac:dyDescent="0.3">
      <c r="B13" s="5">
        <v>9</v>
      </c>
      <c r="C13" s="1" t="s">
        <v>14</v>
      </c>
      <c r="D13" s="2">
        <v>41799</v>
      </c>
      <c r="E13" s="1" t="s">
        <v>15</v>
      </c>
      <c r="F13" s="44" t="str">
        <f t="shared" si="0"/>
        <v>CA</v>
      </c>
      <c r="G13" s="44" t="str">
        <f t="shared" si="4"/>
        <v>2014</v>
      </c>
      <c r="H13" s="46" t="str">
        <f t="shared" si="1"/>
        <v>115812</v>
      </c>
      <c r="I13" s="46" t="str">
        <f t="shared" si="5"/>
        <v>2014_115812</v>
      </c>
      <c r="J13" s="46" t="str">
        <f t="shared" si="6"/>
        <v>2014/115812</v>
      </c>
      <c r="K13" s="44" t="str">
        <f t="shared" si="2"/>
        <v>BROSINA HOFFMAN</v>
      </c>
      <c r="L13" s="44" t="str">
        <f t="shared" si="3"/>
        <v>brosina hoffman</v>
      </c>
      <c r="M13" s="34">
        <f t="shared" si="7"/>
        <v>15</v>
      </c>
    </row>
    <row r="14" spans="2:14" x14ac:dyDescent="0.3">
      <c r="B14" s="5">
        <v>10</v>
      </c>
      <c r="C14" s="1" t="s">
        <v>14</v>
      </c>
      <c r="D14" s="2">
        <v>41799</v>
      </c>
      <c r="E14" s="1" t="s">
        <v>15</v>
      </c>
      <c r="F14" s="44" t="str">
        <f t="shared" si="0"/>
        <v>CA</v>
      </c>
      <c r="G14" s="44" t="str">
        <f t="shared" si="4"/>
        <v>2014</v>
      </c>
      <c r="H14" s="46" t="str">
        <f t="shared" si="1"/>
        <v>115812</v>
      </c>
      <c r="I14" s="46" t="str">
        <f t="shared" si="5"/>
        <v>2014_115812</v>
      </c>
      <c r="J14" s="46" t="str">
        <f t="shared" si="6"/>
        <v>2014/115812</v>
      </c>
      <c r="K14" s="44" t="str">
        <f t="shared" si="2"/>
        <v>BROSINA HOFFMAN</v>
      </c>
      <c r="L14" s="44" t="str">
        <f t="shared" si="3"/>
        <v>brosina hoffman</v>
      </c>
      <c r="M14" s="34">
        <f t="shared" si="7"/>
        <v>15</v>
      </c>
    </row>
    <row r="15" spans="2:14" x14ac:dyDescent="0.3">
      <c r="B15" s="5">
        <v>11</v>
      </c>
      <c r="C15" s="1" t="s">
        <v>14</v>
      </c>
      <c r="D15" s="2">
        <v>41799</v>
      </c>
      <c r="E15" s="1" t="s">
        <v>15</v>
      </c>
      <c r="F15" s="44" t="str">
        <f t="shared" si="0"/>
        <v>CA</v>
      </c>
      <c r="G15" s="44" t="str">
        <f t="shared" si="4"/>
        <v>2014</v>
      </c>
      <c r="H15" s="46" t="str">
        <f t="shared" si="1"/>
        <v>115812</v>
      </c>
      <c r="I15" s="46" t="str">
        <f t="shared" si="5"/>
        <v>2014_115812</v>
      </c>
      <c r="J15" s="46" t="str">
        <f t="shared" si="6"/>
        <v>2014/115812</v>
      </c>
      <c r="K15" s="44" t="str">
        <f t="shared" si="2"/>
        <v>BROSINA HOFFMAN</v>
      </c>
      <c r="L15" s="44" t="str">
        <f t="shared" si="3"/>
        <v>brosina hoffman</v>
      </c>
      <c r="M15" s="34">
        <f t="shared" si="7"/>
        <v>15</v>
      </c>
    </row>
    <row r="16" spans="2:14" x14ac:dyDescent="0.3">
      <c r="B16" s="5">
        <v>12</v>
      </c>
      <c r="C16" s="1" t="s">
        <v>14</v>
      </c>
      <c r="D16" s="2">
        <v>41799</v>
      </c>
      <c r="E16" s="1" t="s">
        <v>15</v>
      </c>
      <c r="F16" s="44" t="str">
        <f t="shared" si="0"/>
        <v>CA</v>
      </c>
      <c r="G16" s="44" t="str">
        <f t="shared" si="4"/>
        <v>2014</v>
      </c>
      <c r="H16" s="46" t="str">
        <f t="shared" si="1"/>
        <v>115812</v>
      </c>
      <c r="I16" s="46" t="str">
        <f t="shared" si="5"/>
        <v>2014_115812</v>
      </c>
      <c r="J16" s="46" t="str">
        <f t="shared" si="6"/>
        <v>2014/115812</v>
      </c>
      <c r="K16" s="44" t="str">
        <f t="shared" si="2"/>
        <v>BROSINA HOFFMAN</v>
      </c>
      <c r="L16" s="44" t="str">
        <f t="shared" si="3"/>
        <v>brosina hoffman</v>
      </c>
      <c r="M16" s="34">
        <f t="shared" si="7"/>
        <v>15</v>
      </c>
    </row>
    <row r="17" spans="2:13" x14ac:dyDescent="0.3">
      <c r="B17" s="5">
        <v>13</v>
      </c>
      <c r="C17" s="1" t="s">
        <v>16</v>
      </c>
      <c r="D17" s="2">
        <v>42840</v>
      </c>
      <c r="E17" s="1" t="s">
        <v>17</v>
      </c>
      <c r="F17" s="44" t="str">
        <f t="shared" si="0"/>
        <v>CA</v>
      </c>
      <c r="G17" s="44" t="str">
        <f t="shared" si="4"/>
        <v>2017</v>
      </c>
      <c r="H17" s="46" t="str">
        <f t="shared" si="1"/>
        <v>114412</v>
      </c>
      <c r="I17" s="46" t="str">
        <f t="shared" si="5"/>
        <v>2017_114412</v>
      </c>
      <c r="J17" s="46" t="str">
        <f t="shared" si="6"/>
        <v>2017/114412</v>
      </c>
      <c r="K17" s="44" t="str">
        <f t="shared" si="2"/>
        <v>ANDREW ALLEN</v>
      </c>
      <c r="L17" s="44" t="str">
        <f t="shared" si="3"/>
        <v>andrew allen</v>
      </c>
      <c r="M17" s="34">
        <f t="shared" si="7"/>
        <v>15</v>
      </c>
    </row>
    <row r="18" spans="2:13" x14ac:dyDescent="0.3">
      <c r="B18" s="5">
        <v>14</v>
      </c>
      <c r="C18" s="1" t="s">
        <v>18</v>
      </c>
      <c r="D18" s="2">
        <v>42709</v>
      </c>
      <c r="E18" s="1" t="s">
        <v>19</v>
      </c>
      <c r="F18" s="44" t="str">
        <f t="shared" si="0"/>
        <v>CA</v>
      </c>
      <c r="G18" s="44" t="str">
        <f t="shared" si="4"/>
        <v>2016</v>
      </c>
      <c r="H18" s="46" t="str">
        <f t="shared" si="1"/>
        <v>161389</v>
      </c>
      <c r="I18" s="46" t="str">
        <f t="shared" si="5"/>
        <v>2016_161389</v>
      </c>
      <c r="J18" s="46" t="str">
        <f t="shared" si="6"/>
        <v>2016/161389</v>
      </c>
      <c r="K18" s="44" t="str">
        <f t="shared" si="2"/>
        <v>IRENE MADDOX</v>
      </c>
      <c r="L18" s="44" t="str">
        <f t="shared" si="3"/>
        <v>irene maddox</v>
      </c>
      <c r="M18" s="34">
        <f t="shared" si="7"/>
        <v>12</v>
      </c>
    </row>
    <row r="19" spans="2:13" ht="15" thickBot="1" x14ac:dyDescent="0.35">
      <c r="B19" s="7">
        <v>15</v>
      </c>
      <c r="C19" s="8" t="s">
        <v>20</v>
      </c>
      <c r="D19" s="10">
        <v>42330</v>
      </c>
      <c r="E19" s="8" t="s">
        <v>21</v>
      </c>
      <c r="F19" s="45" t="str">
        <f t="shared" si="0"/>
        <v>US</v>
      </c>
      <c r="G19" s="45" t="str">
        <f t="shared" si="4"/>
        <v>2015</v>
      </c>
      <c r="H19" s="47" t="str">
        <f t="shared" si="1"/>
        <v>118983</v>
      </c>
      <c r="I19" s="47" t="str">
        <f t="shared" si="5"/>
        <v>2015_118983</v>
      </c>
      <c r="J19" s="47" t="str">
        <f t="shared" si="6"/>
        <v>2015/118983</v>
      </c>
      <c r="K19" s="45" t="str">
        <f t="shared" si="2"/>
        <v>HAROLD PAWLAN</v>
      </c>
      <c r="L19" s="45" t="str">
        <f t="shared" si="3"/>
        <v>harold pawlan</v>
      </c>
      <c r="M19" s="35">
        <f t="shared" si="7"/>
        <v>12</v>
      </c>
    </row>
    <row r="22" spans="2:13" ht="15" thickBot="1" x14ac:dyDescent="0.35"/>
    <row r="23" spans="2:13" ht="15.75" customHeight="1" x14ac:dyDescent="0.3">
      <c r="B23" s="160" t="s">
        <v>120</v>
      </c>
      <c r="C23" s="161"/>
      <c r="D23" s="161"/>
      <c r="E23" s="162"/>
      <c r="F23" s="166" t="s">
        <v>100</v>
      </c>
      <c r="G23" s="156" t="s">
        <v>107</v>
      </c>
      <c r="H23" s="156" t="s">
        <v>109</v>
      </c>
      <c r="I23" s="156" t="s">
        <v>111</v>
      </c>
      <c r="J23" s="158" t="s">
        <v>113</v>
      </c>
    </row>
    <row r="24" spans="2:13" ht="15" customHeight="1" thickBot="1" x14ac:dyDescent="0.35">
      <c r="B24" s="163"/>
      <c r="C24" s="164"/>
      <c r="D24" s="164"/>
      <c r="E24" s="165"/>
      <c r="F24" s="167"/>
      <c r="G24" s="157"/>
      <c r="H24" s="157"/>
      <c r="I24" s="157"/>
      <c r="J24" s="159"/>
    </row>
    <row r="25" spans="2:13" x14ac:dyDescent="0.3">
      <c r="B25" s="22" t="s">
        <v>4</v>
      </c>
      <c r="C25" s="22" t="s">
        <v>5</v>
      </c>
      <c r="D25" s="37" t="s">
        <v>6</v>
      </c>
      <c r="E25" s="19" t="s">
        <v>7</v>
      </c>
      <c r="F25" s="23" t="s">
        <v>101</v>
      </c>
      <c r="G25" s="48" t="s">
        <v>108</v>
      </c>
      <c r="H25" s="48" t="s">
        <v>110</v>
      </c>
      <c r="I25" s="48" t="s">
        <v>112</v>
      </c>
      <c r="J25" s="38" t="s">
        <v>114</v>
      </c>
    </row>
    <row r="26" spans="2:13" x14ac:dyDescent="0.3">
      <c r="B26" s="1">
        <v>1</v>
      </c>
      <c r="C26" s="1" t="s">
        <v>8</v>
      </c>
      <c r="D26" s="2">
        <v>42682</v>
      </c>
      <c r="E26" s="6" t="s">
        <v>9</v>
      </c>
      <c r="F26" s="6" t="b">
        <f>AND(Table24[[#This Row],[Customer Name]] ="Claire Gute", Table24[[#This Row],[Order Date]] &gt;=DATE(2016,1,1))</f>
        <v>1</v>
      </c>
      <c r="G26" s="44" t="b">
        <f>OR(Table24[[#This Row],[Customer Name]]="Claire Gute", Table24[[#This Row],[Customer Name]]="Andrew Allen")</f>
        <v>1</v>
      </c>
      <c r="H26" s="44" t="b">
        <f>NOT(Table24[[#This Row],[Order Date]]&lt;DATE(2014,12,31))</f>
        <v>1</v>
      </c>
      <c r="I26" s="49" t="str">
        <f>IF(AND(Table24[[#This Row],[Order Date]]&gt;=DATE(2014,1,1), Table24[[#This Row],[Order Date]]&lt;DATE(2016,1,1)), "2014-2015", "Others")</f>
        <v>Others</v>
      </c>
      <c r="J26" s="42" t="str">
        <f>IF(Table24[[#This Row],[Order Date]]&gt;=DATE(2017,1,1), "2017",
IF(Table24[[#This Row],[Order Date]]&gt;=DATE(2014,12,31), "between", "2014"))</f>
        <v>between</v>
      </c>
    </row>
    <row r="27" spans="2:13" x14ac:dyDescent="0.3">
      <c r="B27" s="1">
        <v>2</v>
      </c>
      <c r="C27" s="1" t="s">
        <v>8</v>
      </c>
      <c r="D27" s="2">
        <v>42682</v>
      </c>
      <c r="E27" s="6" t="s">
        <v>9</v>
      </c>
      <c r="F27" s="6" t="b">
        <f>AND(Table24[[#This Row],[Customer Name]] ="Claire Gute", Table24[[#This Row],[Order Date]] &gt;=DATE(2016,1,1))</f>
        <v>1</v>
      </c>
      <c r="G27" s="44" t="b">
        <f>OR(Table24[[#This Row],[Customer Name]]="Claire Gute", Table24[[#This Row],[Customer Name]]="Andrew Allen")</f>
        <v>1</v>
      </c>
      <c r="H27" s="44" t="b">
        <f>NOT(Table24[[#This Row],[Order Date]]&lt;DATE(2014,12,31))</f>
        <v>1</v>
      </c>
      <c r="I27" s="49" t="str">
        <f>IF(AND(Table24[[#This Row],[Order Date]]&gt;=DATE(2014,1,1), Table24[[#This Row],[Order Date]]&lt;DATE(2016,1,1)), "2014-2015", "Others")</f>
        <v>Others</v>
      </c>
      <c r="J27" s="42" t="str">
        <f>IF(Table24[[#This Row],[Order Date]]&gt;=DATE(2017,1,1), "2017",
IF(Table24[[#This Row],[Order Date]]&gt;=DATE(2014,12,31), "between", "2014"))</f>
        <v>between</v>
      </c>
    </row>
    <row r="28" spans="2:13" x14ac:dyDescent="0.3">
      <c r="B28" s="1">
        <v>3</v>
      </c>
      <c r="C28" s="1" t="s">
        <v>10</v>
      </c>
      <c r="D28" s="2">
        <v>42533</v>
      </c>
      <c r="E28" s="6" t="s">
        <v>11</v>
      </c>
      <c r="F28" s="6" t="b">
        <f>AND(Table24[[#This Row],[Customer Name]] ="Claire Gute", Table24[[#This Row],[Order Date]] &gt;=DATE(2016,1,1))</f>
        <v>0</v>
      </c>
      <c r="G28" s="44" t="b">
        <f>OR(Table24[[#This Row],[Customer Name]]="Claire Gute", Table24[[#This Row],[Customer Name]]="Andrew Allen")</f>
        <v>0</v>
      </c>
      <c r="H28" s="44" t="b">
        <f>NOT(Table24[[#This Row],[Order Date]]&lt;DATE(2014,12,31))</f>
        <v>1</v>
      </c>
      <c r="I28" s="49" t="str">
        <f>IF(AND(Table24[[#This Row],[Order Date]]&gt;=DATE(2014,1,1), Table24[[#This Row],[Order Date]]&lt;DATE(2016,1,1)), "2014-2015", "Others")</f>
        <v>Others</v>
      </c>
      <c r="J28" s="42" t="str">
        <f>IF(Table24[[#This Row],[Order Date]]&gt;=DATE(2017,1,1), "2017",
IF(Table24[[#This Row],[Order Date]]&gt;=DATE(2014,12,31), "between", "2014"))</f>
        <v>between</v>
      </c>
    </row>
    <row r="29" spans="2:13" x14ac:dyDescent="0.3">
      <c r="B29" s="1">
        <v>4</v>
      </c>
      <c r="C29" s="1" t="s">
        <v>12</v>
      </c>
      <c r="D29" s="2">
        <v>42288</v>
      </c>
      <c r="E29" s="6" t="s">
        <v>13</v>
      </c>
      <c r="F29" s="6" t="b">
        <f>AND(Table24[[#This Row],[Customer Name]] ="Claire Gute", Table24[[#This Row],[Order Date]] &gt;=DATE(2016,1,1))</f>
        <v>0</v>
      </c>
      <c r="G29" s="44" t="b">
        <f>OR(Table24[[#This Row],[Customer Name]]="Claire Gute", Table24[[#This Row],[Customer Name]]="Andrew Allen")</f>
        <v>0</v>
      </c>
      <c r="H29" s="44" t="b">
        <f>NOT(Table24[[#This Row],[Order Date]]&lt;DATE(2014,12,31))</f>
        <v>1</v>
      </c>
      <c r="I29" s="49" t="str">
        <f>IF(AND(Table24[[#This Row],[Order Date]]&gt;=DATE(2014,1,1), Table24[[#This Row],[Order Date]]&lt;DATE(2016,1,1)), "2014-2015", "Others")</f>
        <v>2014-2015</v>
      </c>
      <c r="J29" s="42" t="str">
        <f>IF(Table24[[#This Row],[Order Date]]&gt;=DATE(2017,1,1), "2017",
IF(Table24[[#This Row],[Order Date]]&gt;=DATE(2014,12,31), "between", "2014"))</f>
        <v>between</v>
      </c>
    </row>
    <row r="30" spans="2:13" x14ac:dyDescent="0.3">
      <c r="B30" s="1">
        <v>5</v>
      </c>
      <c r="C30" s="1" t="s">
        <v>12</v>
      </c>
      <c r="D30" s="2">
        <v>42288</v>
      </c>
      <c r="E30" s="6" t="s">
        <v>13</v>
      </c>
      <c r="F30" s="6" t="b">
        <f>AND(Table24[[#This Row],[Customer Name]] ="Claire Gute", Table24[[#This Row],[Order Date]] &gt;=DATE(2016,1,1))</f>
        <v>0</v>
      </c>
      <c r="G30" s="44" t="b">
        <f>OR(Table24[[#This Row],[Customer Name]]="Claire Gute", Table24[[#This Row],[Customer Name]]="Andrew Allen")</f>
        <v>0</v>
      </c>
      <c r="H30" s="44" t="b">
        <f>NOT(Table24[[#This Row],[Order Date]]&lt;DATE(2014,12,31))</f>
        <v>1</v>
      </c>
      <c r="I30" s="49" t="str">
        <f>IF(AND(Table24[[#This Row],[Order Date]]&gt;=DATE(2014,1,1), Table24[[#This Row],[Order Date]]&lt;DATE(2016,1,1)), "2014-2015", "Others")</f>
        <v>2014-2015</v>
      </c>
      <c r="J30" s="42" t="str">
        <f>IF(Table24[[#This Row],[Order Date]]&gt;=DATE(2017,1,1), "2017",
IF(Table24[[#This Row],[Order Date]]&gt;=DATE(2014,12,31), "between", "2014"))</f>
        <v>between</v>
      </c>
    </row>
    <row r="31" spans="2:13" x14ac:dyDescent="0.3">
      <c r="B31" s="1">
        <v>6</v>
      </c>
      <c r="C31" s="1" t="s">
        <v>14</v>
      </c>
      <c r="D31" s="2">
        <v>41799</v>
      </c>
      <c r="E31" s="6" t="s">
        <v>15</v>
      </c>
      <c r="F31" s="6" t="b">
        <f>AND(Table24[[#This Row],[Customer Name]] ="Claire Gute", Table24[[#This Row],[Order Date]] &gt;=DATE(2016,1,1))</f>
        <v>0</v>
      </c>
      <c r="G31" s="44" t="b">
        <f>OR(Table24[[#This Row],[Customer Name]]="Claire Gute", Table24[[#This Row],[Customer Name]]="Andrew Allen")</f>
        <v>0</v>
      </c>
      <c r="H31" s="44" t="b">
        <f>NOT(Table24[[#This Row],[Order Date]]&lt;DATE(2014,12,31))</f>
        <v>0</v>
      </c>
      <c r="I31" s="49" t="str">
        <f>IF(AND(Table24[[#This Row],[Order Date]]&gt;=DATE(2014,1,1), Table24[[#This Row],[Order Date]]&lt;DATE(2016,1,1)), "2014-2015", "Others")</f>
        <v>2014-2015</v>
      </c>
      <c r="J31" s="42" t="str">
        <f>IF(Table24[[#This Row],[Order Date]]&gt;=DATE(2017,1,1), "2017",
IF(Table24[[#This Row],[Order Date]]&gt;=DATE(2014,12,31), "between", "2014"))</f>
        <v>2014</v>
      </c>
    </row>
    <row r="32" spans="2:13" x14ac:dyDescent="0.3">
      <c r="B32" s="1">
        <v>7</v>
      </c>
      <c r="C32" s="1" t="s">
        <v>14</v>
      </c>
      <c r="D32" s="2">
        <v>41799</v>
      </c>
      <c r="E32" s="6" t="s">
        <v>15</v>
      </c>
      <c r="F32" s="6" t="b">
        <f>AND(Table24[[#This Row],[Customer Name]] ="Claire Gute", Table24[[#This Row],[Order Date]] &gt;=DATE(2016,1,1))</f>
        <v>0</v>
      </c>
      <c r="G32" s="44" t="b">
        <f>OR(Table24[[#This Row],[Customer Name]]="Claire Gute", Table24[[#This Row],[Customer Name]]="Andrew Allen")</f>
        <v>0</v>
      </c>
      <c r="H32" s="44" t="b">
        <f>NOT(Table24[[#This Row],[Order Date]]&lt;DATE(2014,12,31))</f>
        <v>0</v>
      </c>
      <c r="I32" s="49" t="str">
        <f>IF(AND(Table24[[#This Row],[Order Date]]&gt;=DATE(2014,1,1), Table24[[#This Row],[Order Date]]&lt;DATE(2016,1,1)), "2014-2015", "Others")</f>
        <v>2014-2015</v>
      </c>
      <c r="J32" s="42" t="str">
        <f>IF(Table24[[#This Row],[Order Date]]&gt;=DATE(2017,1,1), "2017",
IF(Table24[[#This Row],[Order Date]]&gt;=DATE(2014,12,31), "between", "2014"))</f>
        <v>2014</v>
      </c>
    </row>
    <row r="33" spans="2:12" x14ac:dyDescent="0.3">
      <c r="B33" s="1">
        <v>8</v>
      </c>
      <c r="C33" s="1" t="s">
        <v>14</v>
      </c>
      <c r="D33" s="2">
        <v>41799</v>
      </c>
      <c r="E33" s="6" t="s">
        <v>15</v>
      </c>
      <c r="F33" s="6" t="b">
        <f>AND(Table24[[#This Row],[Customer Name]] ="Claire Gute", Table24[[#This Row],[Order Date]] &gt;=DATE(2016,1,1))</f>
        <v>0</v>
      </c>
      <c r="G33" s="44" t="b">
        <f>OR(Table24[[#This Row],[Customer Name]]="Claire Gute", Table24[[#This Row],[Customer Name]]="Andrew Allen")</f>
        <v>0</v>
      </c>
      <c r="H33" s="44" t="b">
        <f>NOT(Table24[[#This Row],[Order Date]]&lt;DATE(2014,12,31))</f>
        <v>0</v>
      </c>
      <c r="I33" s="49" t="str">
        <f>IF(AND(Table24[[#This Row],[Order Date]]&gt;=DATE(2014,1,1), Table24[[#This Row],[Order Date]]&lt;DATE(2016,1,1)), "2014-2015", "Others")</f>
        <v>2014-2015</v>
      </c>
      <c r="J33" s="42" t="str">
        <f>IF(Table24[[#This Row],[Order Date]]&gt;=DATE(2017,1,1), "2017",
IF(Table24[[#This Row],[Order Date]]&gt;=DATE(2014,12,31), "between", "2014"))</f>
        <v>2014</v>
      </c>
    </row>
    <row r="34" spans="2:12" x14ac:dyDescent="0.3">
      <c r="B34" s="1">
        <v>9</v>
      </c>
      <c r="C34" s="1" t="s">
        <v>14</v>
      </c>
      <c r="D34" s="2">
        <v>41799</v>
      </c>
      <c r="E34" s="6" t="s">
        <v>15</v>
      </c>
      <c r="F34" s="6" t="b">
        <f>AND(Table24[[#This Row],[Customer Name]] ="Claire Gute", Table24[[#This Row],[Order Date]] &gt;=DATE(2016,1,1))</f>
        <v>0</v>
      </c>
      <c r="G34" s="44" t="b">
        <f>OR(Table24[[#This Row],[Customer Name]]="Claire Gute", Table24[[#This Row],[Customer Name]]="Andrew Allen")</f>
        <v>0</v>
      </c>
      <c r="H34" s="44" t="b">
        <f>NOT(Table24[[#This Row],[Order Date]]&lt;DATE(2014,12,31))</f>
        <v>0</v>
      </c>
      <c r="I34" s="49" t="str">
        <f>IF(AND(Table24[[#This Row],[Order Date]]&gt;=DATE(2014,1,1), Table24[[#This Row],[Order Date]]&lt;DATE(2016,1,1)), "2014-2015", "Others")</f>
        <v>2014-2015</v>
      </c>
      <c r="J34" s="42" t="str">
        <f>IF(Table24[[#This Row],[Order Date]]&gt;=DATE(2017,1,1), "2017",
IF(Table24[[#This Row],[Order Date]]&gt;=DATE(2014,12,31), "between", "2014"))</f>
        <v>2014</v>
      </c>
    </row>
    <row r="35" spans="2:12" x14ac:dyDescent="0.3">
      <c r="B35" s="1">
        <v>10</v>
      </c>
      <c r="C35" s="1" t="s">
        <v>14</v>
      </c>
      <c r="D35" s="2">
        <v>41799</v>
      </c>
      <c r="E35" s="6" t="s">
        <v>15</v>
      </c>
      <c r="F35" s="6" t="b">
        <f>AND(Table24[[#This Row],[Customer Name]] ="Claire Gute", Table24[[#This Row],[Order Date]] &gt;=DATE(2016,1,1))</f>
        <v>0</v>
      </c>
      <c r="G35" s="44" t="b">
        <f>OR(Table24[[#This Row],[Customer Name]]="Claire Gute", Table24[[#This Row],[Customer Name]]="Andrew Allen")</f>
        <v>0</v>
      </c>
      <c r="H35" s="44" t="b">
        <f>NOT(Table24[[#This Row],[Order Date]]&lt;DATE(2014,12,31))</f>
        <v>0</v>
      </c>
      <c r="I35" s="49" t="str">
        <f>IF(AND(Table24[[#This Row],[Order Date]]&gt;=DATE(2014,1,1), Table24[[#This Row],[Order Date]]&lt;DATE(2016,1,1)), "2014-2015", "Others")</f>
        <v>2014-2015</v>
      </c>
      <c r="J35" s="42" t="str">
        <f>IF(Table24[[#This Row],[Order Date]]&gt;=DATE(2017,1,1), "2017",
IF(Table24[[#This Row],[Order Date]]&gt;=DATE(2014,12,31), "between", "2014"))</f>
        <v>2014</v>
      </c>
      <c r="L35" t="s">
        <v>81</v>
      </c>
    </row>
    <row r="36" spans="2:12" x14ac:dyDescent="0.3">
      <c r="B36" s="1">
        <v>11</v>
      </c>
      <c r="C36" s="1" t="s">
        <v>14</v>
      </c>
      <c r="D36" s="2">
        <v>41799</v>
      </c>
      <c r="E36" s="6" t="s">
        <v>15</v>
      </c>
      <c r="F36" s="6" t="b">
        <f>AND(Table24[[#This Row],[Customer Name]] ="Claire Gute", Table24[[#This Row],[Order Date]] &gt;=DATE(2016,1,1))</f>
        <v>0</v>
      </c>
      <c r="G36" s="44" t="b">
        <f>OR(Table24[[#This Row],[Customer Name]]="Claire Gute", Table24[[#This Row],[Customer Name]]="Andrew Allen")</f>
        <v>0</v>
      </c>
      <c r="H36" s="44" t="b">
        <f>NOT(Table24[[#This Row],[Order Date]]&lt;DATE(2014,12,31))</f>
        <v>0</v>
      </c>
      <c r="I36" s="49" t="str">
        <f>IF(AND(Table24[[#This Row],[Order Date]]&gt;=DATE(2014,1,1), Table24[[#This Row],[Order Date]]&lt;DATE(2016,1,1)), "2014-2015", "Others")</f>
        <v>2014-2015</v>
      </c>
      <c r="J36" s="42" t="str">
        <f>IF(Table24[[#This Row],[Order Date]]&gt;=DATE(2017,1,1), "2017",
IF(Table24[[#This Row],[Order Date]]&gt;=DATE(2014,12,31), "between", "2014"))</f>
        <v>2014</v>
      </c>
    </row>
    <row r="37" spans="2:12" x14ac:dyDescent="0.3">
      <c r="B37" s="1">
        <v>12</v>
      </c>
      <c r="C37" s="1" t="s">
        <v>14</v>
      </c>
      <c r="D37" s="2">
        <v>41799</v>
      </c>
      <c r="E37" s="6" t="s">
        <v>15</v>
      </c>
      <c r="F37" s="6" t="b">
        <f>AND(Table24[[#This Row],[Customer Name]] ="Claire Gute", Table24[[#This Row],[Order Date]] &gt;=DATE(2016,1,1))</f>
        <v>0</v>
      </c>
      <c r="G37" s="44" t="b">
        <f>OR(Table24[[#This Row],[Customer Name]]="Claire Gute", Table24[[#This Row],[Customer Name]]="Andrew Allen")</f>
        <v>0</v>
      </c>
      <c r="H37" s="44" t="b">
        <f>NOT(Table24[[#This Row],[Order Date]]&lt;DATE(2014,12,31))</f>
        <v>0</v>
      </c>
      <c r="I37" s="49" t="str">
        <f>IF(AND(Table24[[#This Row],[Order Date]]&gt;=DATE(2014,1,1), Table24[[#This Row],[Order Date]]&lt;DATE(2016,1,1)), "2014-2015", "Others")</f>
        <v>2014-2015</v>
      </c>
      <c r="J37" s="42" t="str">
        <f>IF(Table24[[#This Row],[Order Date]]&gt;=DATE(2017,1,1), "2017",
IF(Table24[[#This Row],[Order Date]]&gt;=DATE(2014,12,31), "between", "2014"))</f>
        <v>2014</v>
      </c>
    </row>
    <row r="38" spans="2:12" x14ac:dyDescent="0.3">
      <c r="B38" s="1">
        <v>13</v>
      </c>
      <c r="C38" s="1" t="s">
        <v>16</v>
      </c>
      <c r="D38" s="2">
        <v>42840</v>
      </c>
      <c r="E38" s="6" t="s">
        <v>17</v>
      </c>
      <c r="F38" s="6" t="b">
        <f>AND(Table24[[#This Row],[Customer Name]] ="Claire Gute", Table24[[#This Row],[Order Date]] &gt;=DATE(2016,1,1))</f>
        <v>0</v>
      </c>
      <c r="G38" s="44" t="b">
        <f>OR(Table24[[#This Row],[Customer Name]]="Claire Gute", Table24[[#This Row],[Customer Name]]="Andrew Allen")</f>
        <v>1</v>
      </c>
      <c r="H38" s="44" t="b">
        <f>NOT(Table24[[#This Row],[Order Date]]&lt;DATE(2014,12,31))</f>
        <v>1</v>
      </c>
      <c r="I38" s="49" t="str">
        <f>IF(AND(Table24[[#This Row],[Order Date]]&gt;=DATE(2014,1,1), Table24[[#This Row],[Order Date]]&lt;DATE(2016,1,1)), "2014-2015", "Others")</f>
        <v>Others</v>
      </c>
      <c r="J38" s="42" t="str">
        <f>IF(Table24[[#This Row],[Order Date]]&gt;=DATE(2017,1,1), "2017",
IF(Table24[[#This Row],[Order Date]]&gt;=DATE(2014,12,31), "between", "2014"))</f>
        <v>2017</v>
      </c>
    </row>
    <row r="39" spans="2:12" x14ac:dyDescent="0.3">
      <c r="B39" s="1">
        <v>14</v>
      </c>
      <c r="C39" s="1" t="s">
        <v>18</v>
      </c>
      <c r="D39" s="2">
        <v>42709</v>
      </c>
      <c r="E39" s="6" t="s">
        <v>19</v>
      </c>
      <c r="F39" s="6" t="b">
        <f>AND(Table24[[#This Row],[Customer Name]] ="Claire Gute", Table24[[#This Row],[Order Date]] &gt;=DATE(2016,1,1))</f>
        <v>0</v>
      </c>
      <c r="G39" s="44" t="b">
        <f>OR(Table24[[#This Row],[Customer Name]]="Claire Gute", Table24[[#This Row],[Customer Name]]="Andrew Allen")</f>
        <v>0</v>
      </c>
      <c r="H39" s="44" t="b">
        <f>NOT(Table24[[#This Row],[Order Date]]&lt;DATE(2014,12,31))</f>
        <v>1</v>
      </c>
      <c r="I39" s="49" t="str">
        <f>IF(AND(Table24[[#This Row],[Order Date]]&gt;=DATE(2014,1,1), Table24[[#This Row],[Order Date]]&lt;DATE(2016,1,1)), "2014-2015", "Others")</f>
        <v>Others</v>
      </c>
      <c r="J39" s="42" t="str">
        <f>IF(Table24[[#This Row],[Order Date]]&gt;=DATE(2017,1,1), "2017",
IF(Table24[[#This Row],[Order Date]]&gt;=DATE(2014,12,31), "between", "2014"))</f>
        <v>between</v>
      </c>
    </row>
    <row r="40" spans="2:12" x14ac:dyDescent="0.3">
      <c r="B40" s="1">
        <v>15</v>
      </c>
      <c r="C40" s="1" t="s">
        <v>20</v>
      </c>
      <c r="D40" s="2">
        <v>42330</v>
      </c>
      <c r="E40" s="6" t="s">
        <v>21</v>
      </c>
      <c r="F40" s="6" t="b">
        <f>AND(Table24[[#This Row],[Customer Name]] ="Claire Gute", Table24[[#This Row],[Order Date]] &gt;=DATE(2016,1,1))</f>
        <v>0</v>
      </c>
      <c r="G40" s="44" t="b">
        <f>OR(Table24[[#This Row],[Customer Name]]="Claire Gute", Table24[[#This Row],[Customer Name]]="Andrew Allen")</f>
        <v>0</v>
      </c>
      <c r="H40" s="44" t="b">
        <f>NOT(Table24[[#This Row],[Order Date]]&lt;DATE(2014,12,31))</f>
        <v>1</v>
      </c>
      <c r="I40" s="49" t="str">
        <f>IF(AND(Table24[[#This Row],[Order Date]]&gt;=DATE(2014,1,1), Table24[[#This Row],[Order Date]]&lt;DATE(2016,1,1)), "2014-2015", "Others")</f>
        <v>2014-2015</v>
      </c>
      <c r="J40" s="42" t="str">
        <f>IF(Table24[[#This Row],[Order Date]]&gt;=DATE(2017,1,1), "2017",
IF(Table24[[#This Row],[Order Date]]&gt;=DATE(2014,12,31), "between", "2014"))</f>
        <v>between</v>
      </c>
    </row>
  </sheetData>
  <mergeCells count="6">
    <mergeCell ref="G23:G24"/>
    <mergeCell ref="H23:H24"/>
    <mergeCell ref="I23:I24"/>
    <mergeCell ref="J23:J24"/>
    <mergeCell ref="B23:E24"/>
    <mergeCell ref="F23:F24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0081-A63C-444E-B14A-346C837CED3A}">
  <dimension ref="B1:F26"/>
  <sheetViews>
    <sheetView tabSelected="1" topLeftCell="C1" workbookViewId="0">
      <selection activeCell="E14" sqref="E14"/>
    </sheetView>
  </sheetViews>
  <sheetFormatPr defaultRowHeight="14.4" x14ac:dyDescent="0.3"/>
  <cols>
    <col min="1" max="1" width="6.109375" customWidth="1"/>
    <col min="2" max="2" width="48.5546875" style="29" customWidth="1"/>
    <col min="3" max="3" width="59.33203125" style="27" customWidth="1"/>
    <col min="4" max="4" width="6.109375" style="26" customWidth="1"/>
    <col min="5" max="5" width="58.5546875" customWidth="1"/>
    <col min="6" max="6" width="80.33203125" customWidth="1"/>
  </cols>
  <sheetData>
    <row r="1" spans="2:6" ht="15" thickBot="1" x14ac:dyDescent="0.35"/>
    <row r="2" spans="2:6" ht="22.5" customHeight="1" thickBot="1" x14ac:dyDescent="0.35">
      <c r="B2" s="172" t="s">
        <v>122</v>
      </c>
      <c r="C2" s="171"/>
      <c r="E2" s="172" t="s">
        <v>131</v>
      </c>
      <c r="F2" s="171"/>
    </row>
    <row r="3" spans="2:6" x14ac:dyDescent="0.3">
      <c r="B3" s="57" t="s">
        <v>43</v>
      </c>
      <c r="C3" s="58" t="s">
        <v>44</v>
      </c>
      <c r="E3" s="69" t="s">
        <v>60</v>
      </c>
      <c r="F3" s="67"/>
    </row>
    <row r="4" spans="2:6" x14ac:dyDescent="0.3">
      <c r="B4" s="59" t="s">
        <v>45</v>
      </c>
      <c r="C4" s="60" t="s">
        <v>46</v>
      </c>
      <c r="E4" s="69" t="s">
        <v>61</v>
      </c>
      <c r="F4" s="67"/>
    </row>
    <row r="5" spans="2:6" ht="15" thickBot="1" x14ac:dyDescent="0.35">
      <c r="B5" s="61" t="s">
        <v>47</v>
      </c>
      <c r="C5" s="62" t="s">
        <v>48</v>
      </c>
      <c r="E5" s="70"/>
      <c r="F5" s="67"/>
    </row>
    <row r="6" spans="2:6" x14ac:dyDescent="0.3">
      <c r="E6" s="66" t="s">
        <v>62</v>
      </c>
      <c r="F6" s="67" t="s">
        <v>63</v>
      </c>
    </row>
    <row r="7" spans="2:6" ht="19.2" customHeight="1" thickBot="1" x14ac:dyDescent="0.35">
      <c r="E7" s="66" t="s">
        <v>64</v>
      </c>
      <c r="F7" s="149" t="s">
        <v>130</v>
      </c>
    </row>
    <row r="8" spans="2:6" ht="25.5" customHeight="1" thickBot="1" x14ac:dyDescent="0.35">
      <c r="B8" s="170" t="s">
        <v>123</v>
      </c>
      <c r="C8" s="173"/>
      <c r="E8" s="5"/>
      <c r="F8" s="149"/>
    </row>
    <row r="9" spans="2:6" ht="18" customHeight="1" x14ac:dyDescent="0.3">
      <c r="B9" s="168" t="s">
        <v>124</v>
      </c>
      <c r="C9" s="169"/>
      <c r="E9" s="5"/>
      <c r="F9" s="6" t="s">
        <v>128</v>
      </c>
    </row>
    <row r="10" spans="2:6" ht="15" thickBot="1" x14ac:dyDescent="0.35">
      <c r="B10" s="65" t="s">
        <v>49</v>
      </c>
      <c r="C10" s="67" t="s">
        <v>50</v>
      </c>
      <c r="E10" s="7"/>
      <c r="F10" s="9" t="s">
        <v>129</v>
      </c>
    </row>
    <row r="11" spans="2:6" ht="18" customHeight="1" x14ac:dyDescent="0.3">
      <c r="B11" s="65" t="s">
        <v>51</v>
      </c>
      <c r="C11" s="67" t="s">
        <v>52</v>
      </c>
    </row>
    <row r="12" spans="2:6" x14ac:dyDescent="0.3">
      <c r="B12" s="65" t="s">
        <v>53</v>
      </c>
      <c r="C12" s="67" t="s">
        <v>65</v>
      </c>
    </row>
    <row r="13" spans="2:6" x14ac:dyDescent="0.3">
      <c r="B13" s="65" t="s">
        <v>83</v>
      </c>
      <c r="C13" s="67" t="s">
        <v>84</v>
      </c>
    </row>
    <row r="14" spans="2:6" ht="15" thickBot="1" x14ac:dyDescent="0.35">
      <c r="B14" s="65"/>
      <c r="C14" s="67"/>
    </row>
    <row r="15" spans="2:6" ht="16.5" customHeight="1" x14ac:dyDescent="0.3">
      <c r="B15" s="168" t="s">
        <v>125</v>
      </c>
      <c r="C15" s="169"/>
    </row>
    <row r="16" spans="2:6" x14ac:dyDescent="0.3">
      <c r="B16" s="66" t="s">
        <v>66</v>
      </c>
      <c r="C16" s="68" t="s">
        <v>54</v>
      </c>
    </row>
    <row r="17" spans="2:3" x14ac:dyDescent="0.3">
      <c r="B17" s="65" t="s">
        <v>56</v>
      </c>
      <c r="C17" s="67" t="s">
        <v>57</v>
      </c>
    </row>
    <row r="18" spans="2:3" ht="28.8" x14ac:dyDescent="0.3">
      <c r="B18" s="65" t="s">
        <v>127</v>
      </c>
      <c r="C18" s="68" t="s">
        <v>55</v>
      </c>
    </row>
    <row r="19" spans="2:3" x14ac:dyDescent="0.3">
      <c r="B19" s="65" t="s">
        <v>67</v>
      </c>
      <c r="C19" s="67" t="s">
        <v>68</v>
      </c>
    </row>
    <row r="20" spans="2:3" ht="15" thickBot="1" x14ac:dyDescent="0.35">
      <c r="B20" s="65"/>
      <c r="C20" s="68"/>
    </row>
    <row r="21" spans="2:3" ht="16.5" customHeight="1" x14ac:dyDescent="0.3">
      <c r="B21" s="168" t="s">
        <v>126</v>
      </c>
      <c r="C21" s="169"/>
    </row>
    <row r="22" spans="2:3" x14ac:dyDescent="0.3">
      <c r="B22" s="65" t="s">
        <v>58</v>
      </c>
      <c r="C22" s="67" t="s">
        <v>59</v>
      </c>
    </row>
    <row r="23" spans="2:3" x14ac:dyDescent="0.3">
      <c r="B23" s="65"/>
      <c r="C23" s="67"/>
    </row>
    <row r="24" spans="2:3" x14ac:dyDescent="0.3">
      <c r="B24" s="65"/>
      <c r="C24" s="67"/>
    </row>
    <row r="25" spans="2:3" x14ac:dyDescent="0.3">
      <c r="B25" s="65"/>
      <c r="C25" s="67"/>
    </row>
    <row r="26" spans="2:3" ht="15" thickBot="1" x14ac:dyDescent="0.35">
      <c r="B26" s="227"/>
      <c r="C26" s="228"/>
    </row>
  </sheetData>
  <mergeCells count="7">
    <mergeCell ref="B21:C21"/>
    <mergeCell ref="E2:F2"/>
    <mergeCell ref="B2:C2"/>
    <mergeCell ref="B8:C8"/>
    <mergeCell ref="B9:C9"/>
    <mergeCell ref="B15:C15"/>
    <mergeCell ref="F7:F8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93A9-1001-4049-B63A-FC6966CA3C08}">
  <dimension ref="B2:O11"/>
  <sheetViews>
    <sheetView workbookViewId="0">
      <selection activeCell="G15" sqref="G15"/>
    </sheetView>
  </sheetViews>
  <sheetFormatPr defaultRowHeight="14.4" x14ac:dyDescent="0.3"/>
  <cols>
    <col min="1" max="1" width="5.109375" customWidth="1"/>
    <col min="2" max="2" width="14" customWidth="1"/>
    <col min="3" max="3" width="12.33203125" customWidth="1"/>
    <col min="4" max="4" width="11" customWidth="1"/>
    <col min="5" max="5" width="4.44140625" style="138" customWidth="1"/>
    <col min="6" max="6" width="13.109375" bestFit="1" customWidth="1"/>
    <col min="7" max="8" width="15.6640625" bestFit="1" customWidth="1"/>
    <col min="9" max="9" width="3.21875" customWidth="1"/>
    <col min="10" max="10" width="16.33203125" customWidth="1"/>
    <col min="11" max="11" width="24.5546875" customWidth="1"/>
    <col min="12" max="13" width="16.33203125" bestFit="1" customWidth="1"/>
    <col min="14" max="15" width="20.6640625" bestFit="1" customWidth="1"/>
  </cols>
  <sheetData>
    <row r="2" spans="2:15" ht="15" thickBot="1" x14ac:dyDescent="0.35"/>
    <row r="3" spans="2:15" ht="18" customHeight="1" x14ac:dyDescent="0.3">
      <c r="B3" s="100" t="s">
        <v>166</v>
      </c>
      <c r="C3" s="101" t="s">
        <v>162</v>
      </c>
      <c r="D3" s="102" t="s">
        <v>163</v>
      </c>
      <c r="F3" s="88" t="s">
        <v>156</v>
      </c>
      <c r="G3" t="s">
        <v>164</v>
      </c>
      <c r="H3" t="s">
        <v>165</v>
      </c>
      <c r="J3" s="174" t="s">
        <v>167</v>
      </c>
      <c r="K3" s="175"/>
      <c r="L3" s="28"/>
      <c r="N3" s="28"/>
      <c r="O3" s="27"/>
    </row>
    <row r="4" spans="2:15" ht="15.6" x14ac:dyDescent="0.3">
      <c r="B4" s="25" t="s">
        <v>159</v>
      </c>
      <c r="C4" s="15">
        <v>114.9</v>
      </c>
      <c r="D4" s="15">
        <v>1706.1840000000002</v>
      </c>
      <c r="F4" s="36" t="s">
        <v>159</v>
      </c>
      <c r="G4" s="42">
        <v>114.9</v>
      </c>
      <c r="H4" s="42">
        <v>1706.1840000000002</v>
      </c>
      <c r="J4" s="176"/>
      <c r="K4" s="177"/>
      <c r="L4" s="28"/>
      <c r="N4" s="27"/>
      <c r="O4" s="27"/>
    </row>
    <row r="5" spans="2:15" ht="15.6" x14ac:dyDescent="0.3">
      <c r="B5" s="25" t="s">
        <v>158</v>
      </c>
      <c r="C5" s="15">
        <v>911.42399999999998</v>
      </c>
      <c r="D5" s="15">
        <v>8.56</v>
      </c>
      <c r="F5" s="36" t="s">
        <v>158</v>
      </c>
      <c r="G5" s="42">
        <v>911.42399999999998</v>
      </c>
      <c r="H5" s="42">
        <v>8.56</v>
      </c>
      <c r="J5" s="176"/>
      <c r="K5" s="177"/>
      <c r="L5" s="28"/>
      <c r="N5" s="27"/>
      <c r="O5" s="27"/>
    </row>
    <row r="6" spans="2:15" ht="15.6" x14ac:dyDescent="0.3">
      <c r="B6" s="25" t="s">
        <v>160</v>
      </c>
      <c r="C6" s="15">
        <v>213.48000000000002</v>
      </c>
      <c r="D6" s="15">
        <v>22.72</v>
      </c>
      <c r="F6" s="36" t="s">
        <v>160</v>
      </c>
      <c r="G6" s="42">
        <v>213.48000000000002</v>
      </c>
      <c r="H6" s="42">
        <v>22.72</v>
      </c>
      <c r="J6" s="176"/>
      <c r="K6" s="177"/>
      <c r="L6" s="28"/>
      <c r="N6" s="27"/>
      <c r="O6" s="27"/>
    </row>
    <row r="7" spans="2:15" ht="15.6" x14ac:dyDescent="0.3">
      <c r="B7" s="25" t="s">
        <v>161</v>
      </c>
      <c r="C7" s="15">
        <v>665.88</v>
      </c>
      <c r="D7" s="15">
        <v>1044.6299999999999</v>
      </c>
      <c r="F7" s="36" t="s">
        <v>161</v>
      </c>
      <c r="G7" s="42">
        <v>665.88</v>
      </c>
      <c r="H7" s="42">
        <v>1044.6299999999999</v>
      </c>
      <c r="J7" s="176"/>
      <c r="K7" s="177"/>
      <c r="L7" s="28"/>
      <c r="M7" s="27"/>
      <c r="N7" s="27"/>
      <c r="O7" s="27"/>
    </row>
    <row r="8" spans="2:15" ht="15" thickBot="1" x14ac:dyDescent="0.35">
      <c r="F8" s="36" t="s">
        <v>157</v>
      </c>
      <c r="G8" s="42">
        <v>1905.6840000000002</v>
      </c>
      <c r="H8" s="42">
        <v>2782.0940000000001</v>
      </c>
      <c r="J8" s="178"/>
      <c r="K8" s="179"/>
      <c r="L8" s="28"/>
      <c r="M8" s="27"/>
      <c r="N8" s="27"/>
      <c r="O8" s="27"/>
    </row>
    <row r="9" spans="2:15" x14ac:dyDescent="0.3">
      <c r="J9" s="28"/>
      <c r="K9" s="28"/>
      <c r="L9" s="28"/>
      <c r="M9" s="27"/>
      <c r="N9" s="27"/>
      <c r="O9" s="27"/>
    </row>
    <row r="10" spans="2:15" x14ac:dyDescent="0.3">
      <c r="J10" s="28"/>
      <c r="K10" s="28"/>
      <c r="L10" s="28"/>
      <c r="M10" s="27"/>
      <c r="N10" s="27"/>
      <c r="O10" s="27"/>
    </row>
    <row r="11" spans="2:15" x14ac:dyDescent="0.3">
      <c r="J11" s="28"/>
      <c r="K11" s="28"/>
      <c r="L11" s="28"/>
      <c r="M11" s="27"/>
      <c r="N11" s="27"/>
      <c r="O11" s="27"/>
    </row>
  </sheetData>
  <mergeCells count="2">
    <mergeCell ref="J3:K8"/>
    <mergeCell ref="E1:E1048576"/>
  </mergeCell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FD9D-2D30-4583-8663-C65F6BE12213}">
  <dimension ref="A1:AS77"/>
  <sheetViews>
    <sheetView topLeftCell="A49" zoomScale="85" zoomScaleNormal="85" workbookViewId="0">
      <selection activeCell="N6" sqref="N6"/>
    </sheetView>
  </sheetViews>
  <sheetFormatPr defaultRowHeight="14.4" x14ac:dyDescent="0.3"/>
  <cols>
    <col min="1" max="1" width="5.33203125" customWidth="1"/>
    <col min="2" max="2" width="12.88671875" style="25" customWidth="1"/>
    <col min="3" max="3" width="12.6640625" customWidth="1"/>
    <col min="4" max="4" width="3.109375" style="91" customWidth="1"/>
    <col min="5" max="5" width="14.33203125" customWidth="1"/>
    <col min="6" max="6" width="11.6640625" customWidth="1"/>
    <col min="12" max="12" width="3.109375" style="91" customWidth="1"/>
    <col min="13" max="13" width="12.5546875" customWidth="1"/>
    <col min="14" max="14" width="14.33203125" bestFit="1" customWidth="1"/>
    <col min="15" max="15" width="13.33203125" customWidth="1"/>
    <col min="16" max="16" width="18.6640625" customWidth="1"/>
    <col min="17" max="17" width="19.109375" customWidth="1"/>
    <col min="18" max="18" width="3.109375" style="91" customWidth="1"/>
    <col min="19" max="19" width="15" customWidth="1"/>
    <col min="20" max="20" width="15.109375" customWidth="1"/>
    <col min="21" max="21" width="14.33203125" customWidth="1"/>
    <col min="22" max="22" width="15.33203125" customWidth="1"/>
    <col min="23" max="23" width="13.88671875" customWidth="1"/>
    <col min="24" max="24" width="3.109375" style="91" customWidth="1"/>
    <col min="25" max="25" width="12.5546875" customWidth="1"/>
    <col min="26" max="26" width="12.6640625" customWidth="1"/>
    <col min="27" max="27" width="10.88671875" customWidth="1"/>
    <col min="28" max="28" width="11" customWidth="1"/>
    <col min="29" max="29" width="10.109375" customWidth="1"/>
    <col min="30" max="30" width="12.6640625" customWidth="1"/>
    <col min="31" max="31" width="3.21875" style="91" customWidth="1"/>
    <col min="32" max="32" width="15.88671875" customWidth="1"/>
    <col min="33" max="33" width="19.33203125" customWidth="1"/>
    <col min="34" max="34" width="32.33203125" customWidth="1"/>
    <col min="35" max="35" width="3.109375" customWidth="1"/>
    <col min="36" max="36" width="15.6640625" customWidth="1"/>
    <col min="37" max="37" width="18.6640625" customWidth="1"/>
    <col min="38" max="38" width="18.109375" customWidth="1"/>
    <col min="41" max="41" width="3.109375" style="91" customWidth="1"/>
    <col min="42" max="42" width="10.44140625" customWidth="1"/>
    <col min="43" max="43" width="11.6640625" customWidth="1"/>
    <col min="44" max="45" width="13.44140625" customWidth="1"/>
  </cols>
  <sheetData>
    <row r="1" spans="2:45" x14ac:dyDescent="0.3">
      <c r="D1" s="138"/>
      <c r="L1" s="138"/>
      <c r="R1" s="138"/>
      <c r="X1" s="138"/>
      <c r="AE1" s="138"/>
      <c r="AI1" s="138"/>
      <c r="AO1" s="138"/>
    </row>
    <row r="2" spans="2:45" ht="15.6" x14ac:dyDescent="0.3">
      <c r="B2" s="215" t="s">
        <v>200</v>
      </c>
      <c r="C2" s="216"/>
      <c r="D2" s="138"/>
      <c r="E2" s="200" t="s">
        <v>259</v>
      </c>
      <c r="F2" s="200"/>
      <c r="G2" s="200"/>
      <c r="H2" s="200"/>
      <c r="I2" s="200"/>
      <c r="L2" s="138"/>
      <c r="M2" s="200" t="s">
        <v>239</v>
      </c>
      <c r="N2" s="200"/>
      <c r="O2" s="200"/>
      <c r="P2" s="200"/>
      <c r="Q2" s="200"/>
      <c r="R2" s="138"/>
      <c r="S2" s="200" t="s">
        <v>197</v>
      </c>
      <c r="T2" s="200"/>
      <c r="U2" s="200"/>
      <c r="V2" s="200"/>
      <c r="W2" s="200"/>
      <c r="X2" s="138"/>
      <c r="Y2" s="180" t="s">
        <v>202</v>
      </c>
      <c r="Z2" s="180"/>
      <c r="AA2" s="180"/>
      <c r="AB2" s="180"/>
      <c r="AC2" s="180"/>
      <c r="AD2" s="180"/>
      <c r="AE2" s="138"/>
      <c r="AF2" s="180" t="s">
        <v>240</v>
      </c>
      <c r="AG2" s="180"/>
      <c r="AH2" s="180"/>
      <c r="AI2" s="138"/>
      <c r="AJ2" s="180" t="s">
        <v>241</v>
      </c>
      <c r="AK2" s="180"/>
      <c r="AL2" s="180"/>
      <c r="AO2" s="138"/>
      <c r="AP2" s="180" t="s">
        <v>242</v>
      </c>
      <c r="AQ2" s="180"/>
      <c r="AR2" s="180"/>
      <c r="AS2" s="180"/>
    </row>
    <row r="3" spans="2:45" ht="17.25" customHeight="1" x14ac:dyDescent="0.3">
      <c r="B3" s="217"/>
      <c r="C3" s="218"/>
      <c r="D3" s="138"/>
      <c r="E3" s="224" t="s">
        <v>203</v>
      </c>
      <c r="F3" s="224" t="s">
        <v>29</v>
      </c>
      <c r="L3" s="138"/>
      <c r="M3" t="s">
        <v>171</v>
      </c>
      <c r="N3" t="s">
        <v>29</v>
      </c>
      <c r="O3" t="s">
        <v>172</v>
      </c>
      <c r="P3" t="s">
        <v>180</v>
      </c>
      <c r="Q3" t="s">
        <v>181</v>
      </c>
      <c r="R3" s="138"/>
      <c r="S3" t="s">
        <v>183</v>
      </c>
      <c r="T3" t="s">
        <v>184</v>
      </c>
      <c r="U3" t="s">
        <v>185</v>
      </c>
      <c r="V3" t="s">
        <v>186</v>
      </c>
      <c r="W3" t="s">
        <v>38</v>
      </c>
      <c r="X3" s="138"/>
      <c r="Y3" t="s">
        <v>203</v>
      </c>
      <c r="Z3" t="s">
        <v>173</v>
      </c>
      <c r="AA3" t="s">
        <v>174</v>
      </c>
      <c r="AB3" t="s">
        <v>175</v>
      </c>
      <c r="AC3" t="s">
        <v>176</v>
      </c>
      <c r="AD3" t="s">
        <v>38</v>
      </c>
      <c r="AE3" s="138"/>
      <c r="AF3" s="104" t="s">
        <v>183</v>
      </c>
      <c r="AG3" s="104" t="s">
        <v>221</v>
      </c>
      <c r="AH3" s="104" t="s">
        <v>222</v>
      </c>
      <c r="AI3" s="138"/>
      <c r="AJ3" s="104" t="s">
        <v>228</v>
      </c>
      <c r="AK3" s="104" t="s">
        <v>229</v>
      </c>
      <c r="AL3" s="104" t="s">
        <v>230</v>
      </c>
      <c r="AO3" s="138"/>
      <c r="AP3" t="s">
        <v>171</v>
      </c>
      <c r="AQ3" t="s">
        <v>29</v>
      </c>
      <c r="AR3" t="s">
        <v>172</v>
      </c>
      <c r="AS3" t="s">
        <v>30</v>
      </c>
    </row>
    <row r="4" spans="2:45" x14ac:dyDescent="0.3">
      <c r="B4" s="217"/>
      <c r="C4" s="218"/>
      <c r="D4" s="138"/>
      <c r="E4" s="108" t="s">
        <v>212</v>
      </c>
      <c r="F4" s="225">
        <v>151795.46030000021</v>
      </c>
      <c r="L4" s="138"/>
      <c r="M4" s="1" t="s">
        <v>173</v>
      </c>
      <c r="N4" s="94">
        <v>501239.89080000052</v>
      </c>
      <c r="O4" s="94">
        <v>39706.362499999981</v>
      </c>
      <c r="P4" s="93">
        <f>N4/N8</f>
        <v>0.21819593552413255</v>
      </c>
      <c r="Q4" s="93">
        <f>O4/O8</f>
        <v>0.13864097560899988</v>
      </c>
      <c r="R4" s="138"/>
      <c r="S4" s="1" t="s">
        <v>187</v>
      </c>
      <c r="T4" s="94">
        <v>1680.9420000000002</v>
      </c>
      <c r="U4" s="94">
        <v>783.29</v>
      </c>
      <c r="V4" s="94">
        <v>560.04800000000012</v>
      </c>
      <c r="W4" s="94">
        <v>3024.28</v>
      </c>
      <c r="X4" s="138"/>
      <c r="Y4" t="s">
        <v>204</v>
      </c>
      <c r="Z4" s="103">
        <v>8600.6820000000025</v>
      </c>
      <c r="AA4" s="103">
        <v>6579.337999999997</v>
      </c>
      <c r="AB4" s="103">
        <v>44262.199000000001</v>
      </c>
      <c r="AC4" s="103">
        <v>15005.576999999996</v>
      </c>
      <c r="AD4" s="103">
        <v>74447.795999999988</v>
      </c>
      <c r="AE4" s="138"/>
      <c r="AF4" s="36" t="s">
        <v>223</v>
      </c>
      <c r="AG4" s="103">
        <v>29476.392</v>
      </c>
      <c r="AH4" s="103">
        <v>27896.71966666666</v>
      </c>
      <c r="AI4" s="138"/>
      <c r="AJ4" s="36" t="s">
        <v>231</v>
      </c>
      <c r="AK4" s="103">
        <v>5468.1296999999995</v>
      </c>
      <c r="AL4" s="109">
        <f>AK4</f>
        <v>5468.1296999999995</v>
      </c>
      <c r="AO4" s="138"/>
      <c r="AP4" t="s">
        <v>173</v>
      </c>
      <c r="AQ4" s="226">
        <v>0.21822266446569236</v>
      </c>
      <c r="AR4" s="226">
        <v>7.9216285911775486E-2</v>
      </c>
      <c r="AS4">
        <v>8780</v>
      </c>
    </row>
    <row r="5" spans="2:45" x14ac:dyDescent="0.3">
      <c r="B5" s="217"/>
      <c r="C5" s="218"/>
      <c r="D5" s="138"/>
      <c r="E5" s="108" t="s">
        <v>213</v>
      </c>
      <c r="F5" s="225">
        <v>151084.98550000001</v>
      </c>
      <c r="L5" s="138"/>
      <c r="M5" s="1" t="s">
        <v>174</v>
      </c>
      <c r="N5" s="94">
        <v>678781.2399999979</v>
      </c>
      <c r="O5" s="94">
        <v>91522.780000000261</v>
      </c>
      <c r="P5" s="93">
        <f>N5/N8</f>
        <v>0.29548188481496279</v>
      </c>
      <c r="Q5" s="93">
        <f>O5/O8</f>
        <v>0.31956610252696666</v>
      </c>
      <c r="R5" s="138"/>
      <c r="S5" s="1" t="s">
        <v>188</v>
      </c>
      <c r="T5" s="94">
        <v>6709.2620000000006</v>
      </c>
      <c r="U5" s="94">
        <v>4101.6460000000006</v>
      </c>
      <c r="V5" s="94">
        <v>1675.4039999999998</v>
      </c>
      <c r="W5" s="94">
        <v>12486.312000000002</v>
      </c>
      <c r="X5" s="138"/>
      <c r="Y5" t="s">
        <v>205</v>
      </c>
      <c r="Z5" s="103">
        <v>17407.144600000003</v>
      </c>
      <c r="AA5" s="103">
        <v>20782.792999999994</v>
      </c>
      <c r="AB5" s="103">
        <v>22524.102999999996</v>
      </c>
      <c r="AC5" s="103">
        <v>25543.346999999991</v>
      </c>
      <c r="AD5" s="103">
        <v>86257.387599999987</v>
      </c>
      <c r="AE5" s="138"/>
      <c r="AF5" s="36" t="s">
        <v>194</v>
      </c>
      <c r="AG5" s="103">
        <v>23534.95199999999</v>
      </c>
      <c r="AH5" s="103">
        <v>17922.02683333333</v>
      </c>
      <c r="AI5" s="138"/>
      <c r="AJ5" s="108" t="s">
        <v>232</v>
      </c>
      <c r="AK5" s="103">
        <v>6660.9907999999996</v>
      </c>
      <c r="AL5" s="110">
        <f>AK5-AK4</f>
        <v>1192.8611000000001</v>
      </c>
      <c r="AO5" s="138"/>
      <c r="AP5" t="s">
        <v>174</v>
      </c>
      <c r="AQ5" s="226">
        <v>0.29539558154133239</v>
      </c>
      <c r="AR5" s="226">
        <v>0.13490767370348336</v>
      </c>
      <c r="AS5">
        <v>10616</v>
      </c>
    </row>
    <row r="6" spans="2:45" x14ac:dyDescent="0.3">
      <c r="B6" s="217"/>
      <c r="C6" s="218"/>
      <c r="D6" s="138"/>
      <c r="E6" s="108" t="s">
        <v>214</v>
      </c>
      <c r="F6" s="225">
        <v>134550.92129999999</v>
      </c>
      <c r="L6" s="138"/>
      <c r="M6" s="1" t="s">
        <v>175</v>
      </c>
      <c r="N6" s="94">
        <v>391721.90500000032</v>
      </c>
      <c r="O6" s="94">
        <v>46749.430300000065</v>
      </c>
      <c r="P6" s="93">
        <f>N6/N8</f>
        <v>0.17052139922533549</v>
      </c>
      <c r="Q6" s="93">
        <f>O6/O8</f>
        <v>0.16323294852196427</v>
      </c>
      <c r="R6" s="138"/>
      <c r="S6" s="1" t="s">
        <v>189</v>
      </c>
      <c r="T6" s="94">
        <v>7771.1460000000015</v>
      </c>
      <c r="U6" s="94">
        <v>5942.67</v>
      </c>
      <c r="V6" s="94">
        <v>2762.5860000000002</v>
      </c>
      <c r="W6" s="94">
        <v>16476.402000000002</v>
      </c>
      <c r="X6" s="138"/>
      <c r="Y6" t="s">
        <v>206</v>
      </c>
      <c r="Z6" s="103">
        <v>44171.446800000005</v>
      </c>
      <c r="AA6" s="103">
        <v>33443.382999999994</v>
      </c>
      <c r="AB6" s="103">
        <v>16061.061499999996</v>
      </c>
      <c r="AC6" s="103">
        <v>49957.320999999989</v>
      </c>
      <c r="AD6" s="103">
        <v>143633.21229999998</v>
      </c>
      <c r="AE6" s="138"/>
      <c r="AF6" s="36" t="s">
        <v>190</v>
      </c>
      <c r="AG6" s="103">
        <v>5432.7520000000004</v>
      </c>
      <c r="AH6" s="103">
        <v>4519.7986666666675</v>
      </c>
      <c r="AI6" s="138"/>
      <c r="AJ6" s="108" t="s">
        <v>233</v>
      </c>
      <c r="AK6" s="103">
        <v>5292.7917999999991</v>
      </c>
      <c r="AL6" s="110">
        <f t="shared" ref="AL6:AL8" si="0">AK6-AK5</f>
        <v>-1368.1990000000005</v>
      </c>
      <c r="AO6" s="138"/>
      <c r="AP6" t="s">
        <v>175</v>
      </c>
      <c r="AQ6" s="226">
        <v>0.17054228804942673</v>
      </c>
      <c r="AR6" s="226">
        <v>0.11934341609004485</v>
      </c>
      <c r="AS6">
        <v>6209</v>
      </c>
    </row>
    <row r="7" spans="2:45" x14ac:dyDescent="0.3">
      <c r="B7" s="217"/>
      <c r="C7" s="218"/>
      <c r="D7" s="138"/>
      <c r="E7" s="108" t="s">
        <v>215</v>
      </c>
      <c r="F7" s="225">
        <v>109313.38719999985</v>
      </c>
      <c r="L7" s="138"/>
      <c r="M7" s="1" t="s">
        <v>176</v>
      </c>
      <c r="N7" s="94">
        <v>725457.82450000057</v>
      </c>
      <c r="O7" s="94">
        <v>108418.44890000018</v>
      </c>
      <c r="P7" s="93">
        <f>N7/N8</f>
        <v>0.31580078043556908</v>
      </c>
      <c r="Q7" s="93">
        <f>O7/O8</f>
        <v>0.37855997334206909</v>
      </c>
      <c r="R7" s="138"/>
      <c r="S7" s="1" t="s">
        <v>190</v>
      </c>
      <c r="T7" s="94">
        <v>14251.930000000002</v>
      </c>
      <c r="U7" s="94">
        <v>8590.4480000000021</v>
      </c>
      <c r="V7" s="94">
        <v>4276.4139999999998</v>
      </c>
      <c r="W7" s="94">
        <v>27118.792000000005</v>
      </c>
      <c r="X7" s="138"/>
      <c r="Y7" t="s">
        <v>207</v>
      </c>
      <c r="Z7" s="103">
        <v>33658.891199999998</v>
      </c>
      <c r="AA7" s="103">
        <v>67593.57100000004</v>
      </c>
      <c r="AB7" s="103">
        <v>20998.480000000007</v>
      </c>
      <c r="AC7" s="103">
        <v>57376.78800000003</v>
      </c>
      <c r="AD7" s="103">
        <v>179627.73020000008</v>
      </c>
      <c r="AE7" s="138"/>
      <c r="AF7" s="36" t="s">
        <v>224</v>
      </c>
      <c r="AG7" s="103">
        <v>43560.502</v>
      </c>
      <c r="AH7" s="103">
        <v>33902.122166666675</v>
      </c>
      <c r="AI7" s="138"/>
      <c r="AJ7" s="108" t="s">
        <v>234</v>
      </c>
      <c r="AK7" s="103">
        <v>9466.2250999999997</v>
      </c>
      <c r="AL7" s="110">
        <f t="shared" si="0"/>
        <v>4173.4333000000006</v>
      </c>
      <c r="AO7" s="138"/>
      <c r="AP7" t="s">
        <v>176</v>
      </c>
      <c r="AQ7" s="226">
        <v>0.3158394659435485</v>
      </c>
      <c r="AR7" s="226">
        <v>0.14944831420727209</v>
      </c>
      <c r="AS7">
        <v>12266</v>
      </c>
    </row>
    <row r="8" spans="2:45" x14ac:dyDescent="0.3">
      <c r="B8" s="217"/>
      <c r="C8" s="218"/>
      <c r="D8" s="138"/>
      <c r="E8" s="108" t="s">
        <v>216</v>
      </c>
      <c r="F8" s="225">
        <v>169850.59679999997</v>
      </c>
      <c r="L8" s="138"/>
      <c r="M8" s="1" t="s">
        <v>179</v>
      </c>
      <c r="N8" s="94">
        <f>SUM(N4:N7)</f>
        <v>2297200.8602999994</v>
      </c>
      <c r="O8" s="111">
        <f>SUM(O4:O7)</f>
        <v>286397.02170000051</v>
      </c>
      <c r="P8" s="1"/>
      <c r="Q8" s="1"/>
      <c r="R8" s="138"/>
      <c r="S8" s="1" t="s">
        <v>191</v>
      </c>
      <c r="T8" s="94">
        <v>25741.495999999996</v>
      </c>
      <c r="U8" s="94">
        <v>19435.284000000007</v>
      </c>
      <c r="V8" s="94">
        <v>1496.7579999999996</v>
      </c>
      <c r="W8" s="94">
        <v>46673.538</v>
      </c>
      <c r="X8" s="138"/>
      <c r="Y8" t="s">
        <v>208</v>
      </c>
      <c r="Z8" s="103">
        <v>11768.365599999997</v>
      </c>
      <c r="AA8" s="103">
        <v>17145.867999999995</v>
      </c>
      <c r="AB8" s="103">
        <v>16444.442999999992</v>
      </c>
      <c r="AC8" s="103">
        <v>23493.062000000005</v>
      </c>
      <c r="AD8" s="103">
        <v>68851.738599999982</v>
      </c>
      <c r="AE8" s="138"/>
      <c r="AF8" s="36" t="s">
        <v>195</v>
      </c>
      <c r="AG8" s="103">
        <v>18314.5762</v>
      </c>
      <c r="AH8" s="103">
        <v>19146.666049999996</v>
      </c>
      <c r="AI8" s="138"/>
      <c r="AJ8" s="108" t="s">
        <v>235</v>
      </c>
      <c r="AK8" s="103">
        <v>9367.552099999999</v>
      </c>
      <c r="AL8" s="110">
        <f t="shared" si="0"/>
        <v>-98.673000000000684</v>
      </c>
      <c r="AO8" s="138"/>
    </row>
    <row r="9" spans="2:45" ht="15" thickBot="1" x14ac:dyDescent="0.35">
      <c r="B9" s="217"/>
      <c r="C9" s="218"/>
      <c r="D9" s="138"/>
      <c r="E9" s="108" t="s">
        <v>217</v>
      </c>
      <c r="F9" s="225">
        <v>184953.86179999969</v>
      </c>
      <c r="L9" s="138"/>
      <c r="R9" s="138"/>
      <c r="S9" s="1" t="s">
        <v>192</v>
      </c>
      <c r="T9" s="94">
        <v>36324.367999999915</v>
      </c>
      <c r="U9" s="94">
        <v>23883.129999999976</v>
      </c>
      <c r="V9" s="94">
        <v>18271.707999999984</v>
      </c>
      <c r="W9" s="94">
        <v>78479.205999999875</v>
      </c>
      <c r="X9" s="138"/>
      <c r="Y9" t="s">
        <v>209</v>
      </c>
      <c r="Z9" s="103">
        <v>23979.145000000004</v>
      </c>
      <c r="AA9" s="103">
        <v>22703.207999999995</v>
      </c>
      <c r="AB9" s="103">
        <v>16254.204500000002</v>
      </c>
      <c r="AC9" s="103">
        <v>26187.629499999988</v>
      </c>
      <c r="AD9" s="103">
        <v>89124.186999999991</v>
      </c>
      <c r="AE9" s="138"/>
      <c r="AF9" s="36" t="s">
        <v>225</v>
      </c>
      <c r="AG9" s="103">
        <v>71448.679999999949</v>
      </c>
      <c r="AH9" s="103">
        <v>54741.517166666628</v>
      </c>
      <c r="AI9" s="138"/>
      <c r="AJ9" t="s">
        <v>236</v>
      </c>
      <c r="AK9" s="103">
        <v>9367.552099999999</v>
      </c>
      <c r="AL9" s="109">
        <f>AK9</f>
        <v>9367.552099999999</v>
      </c>
      <c r="AO9" s="138"/>
    </row>
    <row r="10" spans="2:45" ht="15" thickBot="1" x14ac:dyDescent="0.35">
      <c r="B10" s="217"/>
      <c r="C10" s="218"/>
      <c r="D10" s="138"/>
      <c r="E10" s="108" t="s">
        <v>218</v>
      </c>
      <c r="F10" s="225">
        <v>137583.6532</v>
      </c>
      <c r="L10" s="138"/>
      <c r="M10" s="181" t="s">
        <v>177</v>
      </c>
      <c r="N10" s="182"/>
      <c r="R10" s="138"/>
      <c r="S10" s="1" t="s">
        <v>193</v>
      </c>
      <c r="T10" s="94">
        <v>49620.045999999951</v>
      </c>
      <c r="U10" s="94">
        <v>25001.266000000003</v>
      </c>
      <c r="V10" s="94">
        <v>17083.851999999988</v>
      </c>
      <c r="W10" s="94">
        <v>91705.163999999932</v>
      </c>
      <c r="X10" s="138"/>
      <c r="Y10" t="s">
        <v>210</v>
      </c>
      <c r="Z10" s="103">
        <v>24485.538200000006</v>
      </c>
      <c r="AA10" s="103">
        <v>50777.423000000017</v>
      </c>
      <c r="AB10" s="103">
        <v>21459.504999999994</v>
      </c>
      <c r="AC10" s="103">
        <v>33537.108999999975</v>
      </c>
      <c r="AD10" s="103">
        <v>130259.57519999999</v>
      </c>
      <c r="AE10" s="138"/>
      <c r="AF10" s="36" t="s">
        <v>196</v>
      </c>
      <c r="AG10" s="103">
        <v>50879.600000000013</v>
      </c>
      <c r="AH10" s="103">
        <v>24921.338333333337</v>
      </c>
      <c r="AI10" s="138"/>
      <c r="AJ10" s="108" t="s">
        <v>232</v>
      </c>
      <c r="AK10" s="103">
        <v>16123.065299999998</v>
      </c>
      <c r="AL10" s="110">
        <f>AK10-AK9</f>
        <v>6755.5131999999994</v>
      </c>
      <c r="AO10" s="138"/>
      <c r="AP10" s="181" t="s">
        <v>243</v>
      </c>
      <c r="AQ10" s="182"/>
    </row>
    <row r="11" spans="2:45" x14ac:dyDescent="0.3">
      <c r="B11" s="217"/>
      <c r="C11" s="218"/>
      <c r="D11" s="138"/>
      <c r="E11" s="108" t="s">
        <v>219</v>
      </c>
      <c r="F11" s="225">
        <v>104234.44329999998</v>
      </c>
      <c r="L11" s="138"/>
      <c r="R11" s="138"/>
      <c r="S11" s="1" t="s">
        <v>194</v>
      </c>
      <c r="T11" s="94">
        <v>52819.581000000035</v>
      </c>
      <c r="U11" s="94">
        <v>36588.682999999983</v>
      </c>
      <c r="V11" s="94">
        <v>18123.896999999994</v>
      </c>
      <c r="W11" s="94">
        <v>107532.16100000002</v>
      </c>
      <c r="X11" s="138"/>
      <c r="Y11" t="s">
        <v>211</v>
      </c>
      <c r="Z11" s="103">
        <v>42641.173199999997</v>
      </c>
      <c r="AA11" s="103">
        <v>65705.558000000034</v>
      </c>
      <c r="AB11" s="103">
        <v>17201.828000000005</v>
      </c>
      <c r="AC11" s="103">
        <v>56748.449000000022</v>
      </c>
      <c r="AD11" s="103">
        <v>182297.00820000007</v>
      </c>
      <c r="AE11" s="138"/>
      <c r="AF11" s="36" t="s">
        <v>189</v>
      </c>
      <c r="AG11" s="103">
        <v>1903.9299999999998</v>
      </c>
      <c r="AH11" s="103">
        <v>2746.0670000000005</v>
      </c>
      <c r="AI11" s="138"/>
      <c r="AJ11" s="108" t="s">
        <v>233</v>
      </c>
      <c r="AK11" s="103">
        <v>22975.013299999999</v>
      </c>
      <c r="AL11" s="110">
        <f t="shared" ref="AL11:AL13" si="1">AK11-AK10</f>
        <v>6851.9480000000003</v>
      </c>
      <c r="AO11" s="138"/>
    </row>
    <row r="12" spans="2:45" x14ac:dyDescent="0.3">
      <c r="B12" s="219"/>
      <c r="C12" s="220"/>
      <c r="D12" s="138"/>
      <c r="L12" s="138"/>
      <c r="R12" s="138"/>
      <c r="S12" s="1" t="s">
        <v>195</v>
      </c>
      <c r="T12" s="94">
        <v>68632.729000000007</v>
      </c>
      <c r="U12" s="94">
        <v>34005.924299999991</v>
      </c>
      <c r="V12" s="94">
        <v>12241.342999999995</v>
      </c>
      <c r="W12" s="94">
        <v>114879.9963</v>
      </c>
      <c r="X12" s="138"/>
      <c r="Y12" t="s">
        <v>212</v>
      </c>
      <c r="Z12" s="103">
        <v>20211.696999999993</v>
      </c>
      <c r="AA12" s="103">
        <v>24774.764999999999</v>
      </c>
      <c r="AB12" s="103">
        <v>23933.704000000002</v>
      </c>
      <c r="AC12" s="103">
        <v>24317.014999999999</v>
      </c>
      <c r="AD12" s="103">
        <v>93237.180999999997</v>
      </c>
      <c r="AE12" s="138"/>
      <c r="AF12" s="36" t="s">
        <v>187</v>
      </c>
      <c r="AG12" s="103">
        <v>493.56200000000007</v>
      </c>
      <c r="AH12" s="103">
        <v>504.04666666666668</v>
      </c>
      <c r="AI12" s="138"/>
      <c r="AJ12" s="108" t="s">
        <v>234</v>
      </c>
      <c r="AK12" s="103">
        <v>24877.2336</v>
      </c>
      <c r="AL12" s="110">
        <f t="shared" si="1"/>
        <v>1902.2203000000009</v>
      </c>
      <c r="AO12" s="138"/>
    </row>
    <row r="13" spans="2:45" ht="15" thickBot="1" x14ac:dyDescent="0.35">
      <c r="D13" s="138"/>
      <c r="L13" s="138"/>
      <c r="R13" s="138"/>
      <c r="S13" s="1" t="s">
        <v>196</v>
      </c>
      <c r="T13" s="94">
        <v>69819.069999999992</v>
      </c>
      <c r="U13" s="94">
        <v>46829.385999999999</v>
      </c>
      <c r="V13" s="94">
        <v>32879.574000000008</v>
      </c>
      <c r="W13" s="94">
        <v>149528.03</v>
      </c>
      <c r="X13" s="138"/>
      <c r="Y13" t="s">
        <v>213</v>
      </c>
      <c r="Z13" s="103">
        <v>25759.464999999993</v>
      </c>
      <c r="AA13" s="103">
        <v>52166.656999999956</v>
      </c>
      <c r="AB13" s="103">
        <v>18381.827999999994</v>
      </c>
      <c r="AC13" s="103">
        <v>39774.350999999995</v>
      </c>
      <c r="AD13" s="103">
        <v>136082.30099999992</v>
      </c>
      <c r="AE13" s="138"/>
      <c r="AF13" s="36" t="s">
        <v>193</v>
      </c>
      <c r="AG13" s="103">
        <v>15855.979999999996</v>
      </c>
      <c r="AH13" s="103">
        <v>15284.193999999994</v>
      </c>
      <c r="AI13" s="138"/>
      <c r="AJ13" s="108" t="s">
        <v>235</v>
      </c>
      <c r="AK13" s="103">
        <v>28963.278699999999</v>
      </c>
      <c r="AL13" s="110">
        <f t="shared" si="1"/>
        <v>4086.0450999999994</v>
      </c>
      <c r="AO13" s="138"/>
    </row>
    <row r="14" spans="2:45" ht="15" thickBot="1" x14ac:dyDescent="0.35">
      <c r="D14" s="138"/>
      <c r="E14" s="181" t="s">
        <v>169</v>
      </c>
      <c r="F14" s="182"/>
      <c r="L14" s="138"/>
      <c r="R14" s="138"/>
      <c r="X14" s="138"/>
      <c r="Y14" t="s">
        <v>214</v>
      </c>
      <c r="Z14" s="103">
        <v>33380.224200000004</v>
      </c>
      <c r="AA14" s="103">
        <v>38051.645999999972</v>
      </c>
      <c r="AB14" s="103">
        <v>21635.880499999996</v>
      </c>
      <c r="AC14" s="103">
        <v>50719.611499999992</v>
      </c>
      <c r="AD14" s="103">
        <v>143787.36219999997</v>
      </c>
      <c r="AE14" s="138"/>
      <c r="AF14" s="36" t="s">
        <v>188</v>
      </c>
      <c r="AG14" s="103">
        <v>1600.3760000000002</v>
      </c>
      <c r="AH14" s="103">
        <v>2081.0520000000001</v>
      </c>
      <c r="AI14" s="138"/>
      <c r="AJ14" t="s">
        <v>237</v>
      </c>
      <c r="AK14" s="103">
        <v>28963.278699999999</v>
      </c>
      <c r="AL14" s="109">
        <f>AK14</f>
        <v>28963.278699999999</v>
      </c>
      <c r="AO14" s="138"/>
    </row>
    <row r="15" spans="2:45" ht="15" thickBot="1" x14ac:dyDescent="0.35">
      <c r="B15" s="201" t="s">
        <v>168</v>
      </c>
      <c r="C15" s="207"/>
      <c r="D15" s="138"/>
      <c r="L15" s="138"/>
      <c r="R15" s="138"/>
      <c r="X15" s="138"/>
      <c r="Y15" t="s">
        <v>215</v>
      </c>
      <c r="Z15" s="103">
        <v>68077.989800000025</v>
      </c>
      <c r="AA15" s="103">
        <v>65692.753999999986</v>
      </c>
      <c r="AB15" s="103">
        <v>29658.810999999987</v>
      </c>
      <c r="AC15" s="103">
        <v>72669.198999999993</v>
      </c>
      <c r="AD15" s="103">
        <v>236098.75379999998</v>
      </c>
      <c r="AE15" s="138"/>
      <c r="AI15" s="138"/>
      <c r="AO15" s="138"/>
    </row>
    <row r="16" spans="2:45" ht="15" thickBot="1" x14ac:dyDescent="0.35">
      <c r="B16" s="208"/>
      <c r="C16" s="209"/>
      <c r="D16" s="138"/>
      <c r="L16" s="138"/>
      <c r="R16" s="138"/>
      <c r="S16" s="181" t="s">
        <v>198</v>
      </c>
      <c r="T16" s="182"/>
      <c r="X16" s="138"/>
      <c r="Y16" t="s">
        <v>216</v>
      </c>
      <c r="Z16" s="103">
        <v>40530.057199999988</v>
      </c>
      <c r="AA16" s="103">
        <v>18051.761999999992</v>
      </c>
      <c r="AB16" s="103">
        <v>13642.182000000001</v>
      </c>
      <c r="AC16" s="103">
        <v>50920.858999999989</v>
      </c>
      <c r="AD16" s="103">
        <v>123144.86019999997</v>
      </c>
      <c r="AE16" s="138"/>
      <c r="AI16" s="138"/>
      <c r="AO16" s="138"/>
    </row>
    <row r="17" spans="2:41" ht="15" thickBot="1" x14ac:dyDescent="0.35">
      <c r="B17" s="208"/>
      <c r="C17" s="209"/>
      <c r="D17" s="138"/>
      <c r="L17" s="138"/>
      <c r="R17" s="138"/>
      <c r="X17" s="138"/>
      <c r="Y17" t="s">
        <v>217</v>
      </c>
      <c r="Z17" s="103">
        <v>27938.738999999994</v>
      </c>
      <c r="AA17" s="103">
        <v>31511.500000000004</v>
      </c>
      <c r="AB17" s="103">
        <v>29325.41450000001</v>
      </c>
      <c r="AC17" s="103">
        <v>44988.718499999974</v>
      </c>
      <c r="AD17" s="103">
        <v>133764.37199999997</v>
      </c>
      <c r="AE17" s="138"/>
      <c r="AF17" s="181" t="s">
        <v>226</v>
      </c>
      <c r="AG17" s="182"/>
      <c r="AI17" s="138"/>
      <c r="AJ17" s="181" t="s">
        <v>238</v>
      </c>
      <c r="AK17" s="182"/>
      <c r="AO17" s="138"/>
    </row>
    <row r="18" spans="2:41" x14ac:dyDescent="0.3">
      <c r="B18" s="210"/>
      <c r="C18" s="211"/>
      <c r="D18" s="138"/>
      <c r="L18" s="138"/>
      <c r="R18" s="138"/>
      <c r="X18" s="138"/>
      <c r="Y18" t="s">
        <v>218</v>
      </c>
      <c r="Z18" s="103">
        <v>32468.946999999986</v>
      </c>
      <c r="AA18" s="103">
        <v>65496.387000000039</v>
      </c>
      <c r="AB18" s="103">
        <v>23874.151999999987</v>
      </c>
      <c r="AC18" s="103">
        <v>74412.469999999958</v>
      </c>
      <c r="AD18" s="103">
        <v>196251.95599999998</v>
      </c>
      <c r="AE18" s="138"/>
      <c r="AI18" s="138"/>
      <c r="AO18" s="138"/>
    </row>
    <row r="19" spans="2:41" ht="15" customHeight="1" thickBot="1" x14ac:dyDescent="0.35">
      <c r="B19"/>
      <c r="D19" s="138"/>
      <c r="L19" s="138"/>
      <c r="R19" s="138"/>
      <c r="X19" s="138"/>
      <c r="Y19" t="s">
        <v>219</v>
      </c>
      <c r="Z19" s="103">
        <v>46160.385000000038</v>
      </c>
      <c r="AA19" s="103">
        <v>98023.255000000048</v>
      </c>
      <c r="AB19" s="103">
        <v>56064.10899999996</v>
      </c>
      <c r="AC19" s="103">
        <v>79806.318000000014</v>
      </c>
      <c r="AD19" s="103">
        <v>280054.06700000004</v>
      </c>
      <c r="AE19" s="138"/>
      <c r="AI19" s="138"/>
      <c r="AO19" s="138"/>
    </row>
    <row r="20" spans="2:41" ht="15" thickBot="1" x14ac:dyDescent="0.35">
      <c r="B20"/>
      <c r="D20" s="138"/>
      <c r="L20" s="138"/>
      <c r="M20" s="181" t="s">
        <v>178</v>
      </c>
      <c r="N20" s="182"/>
      <c r="R20" s="138"/>
      <c r="X20" s="138"/>
      <c r="AE20" s="138"/>
      <c r="AI20" s="138"/>
      <c r="AO20" s="138"/>
    </row>
    <row r="21" spans="2:41" ht="15" thickBot="1" x14ac:dyDescent="0.35">
      <c r="D21" s="138"/>
      <c r="L21" s="138"/>
      <c r="R21" s="138"/>
      <c r="X21" s="138"/>
      <c r="AE21" s="138"/>
      <c r="AI21" s="138"/>
      <c r="AO21" s="138"/>
    </row>
    <row r="22" spans="2:41" ht="15" thickBot="1" x14ac:dyDescent="0.35">
      <c r="D22" s="138"/>
      <c r="L22" s="138"/>
      <c r="R22" s="138"/>
      <c r="X22" s="138"/>
      <c r="Y22" s="181" t="s">
        <v>220</v>
      </c>
      <c r="Z22" s="223"/>
      <c r="AA22" s="182"/>
      <c r="AE22" s="138"/>
      <c r="AI22" s="138"/>
      <c r="AO22" s="138"/>
    </row>
    <row r="23" spans="2:41" x14ac:dyDescent="0.3">
      <c r="D23" s="138"/>
      <c r="L23" s="138"/>
      <c r="R23" s="138"/>
      <c r="X23" s="138"/>
      <c r="AE23" s="138"/>
      <c r="AI23" s="138"/>
      <c r="AO23" s="138"/>
    </row>
    <row r="24" spans="2:41" x14ac:dyDescent="0.3">
      <c r="D24" s="138"/>
      <c r="L24" s="138"/>
      <c r="R24" s="138"/>
      <c r="X24" s="138"/>
      <c r="AE24" s="138"/>
      <c r="AI24" s="138"/>
      <c r="AO24" s="138"/>
    </row>
    <row r="25" spans="2:41" x14ac:dyDescent="0.3">
      <c r="D25" s="138"/>
      <c r="L25" s="138"/>
      <c r="R25" s="138"/>
      <c r="X25" s="138"/>
      <c r="AE25" s="138"/>
      <c r="AI25" s="138"/>
      <c r="AO25" s="138"/>
    </row>
    <row r="26" spans="2:41" x14ac:dyDescent="0.3">
      <c r="D26" s="138"/>
      <c r="L26" s="138"/>
      <c r="R26" s="138"/>
      <c r="X26" s="138"/>
      <c r="AE26" s="138"/>
      <c r="AI26" s="138"/>
      <c r="AO26" s="138"/>
    </row>
    <row r="27" spans="2:41" x14ac:dyDescent="0.3">
      <c r="D27" s="138"/>
      <c r="L27" s="138"/>
      <c r="R27" s="138"/>
      <c r="X27" s="138"/>
      <c r="AE27" s="138"/>
      <c r="AI27" s="138"/>
      <c r="AO27" s="138"/>
    </row>
    <row r="28" spans="2:41" x14ac:dyDescent="0.3">
      <c r="D28" s="138"/>
      <c r="L28" s="138"/>
      <c r="R28" s="138"/>
      <c r="X28" s="138"/>
      <c r="AE28" s="138"/>
      <c r="AI28" s="138"/>
      <c r="AO28" s="138"/>
    </row>
    <row r="29" spans="2:41" ht="15" thickBot="1" x14ac:dyDescent="0.35">
      <c r="D29" s="138"/>
      <c r="L29" s="138"/>
      <c r="R29" s="138"/>
      <c r="X29" s="138"/>
      <c r="AE29" s="138"/>
      <c r="AI29" s="138"/>
      <c r="AO29" s="138"/>
    </row>
    <row r="30" spans="2:41" ht="15" thickBot="1" x14ac:dyDescent="0.35">
      <c r="D30" s="138"/>
      <c r="E30" s="221" t="s">
        <v>170</v>
      </c>
      <c r="F30" s="222"/>
      <c r="L30" s="138"/>
      <c r="R30" s="138"/>
      <c r="X30" s="138"/>
      <c r="AE30" s="138"/>
      <c r="AI30" s="138"/>
      <c r="AO30" s="138"/>
    </row>
    <row r="31" spans="2:41" ht="15" thickBot="1" x14ac:dyDescent="0.35">
      <c r="C31" s="92"/>
      <c r="D31" s="138"/>
      <c r="L31" s="138"/>
      <c r="R31" s="138"/>
      <c r="X31" s="138"/>
      <c r="AE31" s="138"/>
      <c r="AI31" s="138"/>
      <c r="AO31" s="138"/>
    </row>
    <row r="32" spans="2:41" ht="15" thickBot="1" x14ac:dyDescent="0.35">
      <c r="B32" s="201" t="s">
        <v>201</v>
      </c>
      <c r="C32" s="207"/>
      <c r="D32" s="138"/>
      <c r="L32" s="138"/>
      <c r="R32" s="138"/>
      <c r="S32" s="181" t="s">
        <v>199</v>
      </c>
      <c r="T32" s="182"/>
      <c r="X32" s="138"/>
      <c r="AE32" s="138"/>
      <c r="AI32" s="138"/>
      <c r="AO32" s="138"/>
    </row>
    <row r="33" spans="2:41" ht="15" customHeight="1" thickBot="1" x14ac:dyDescent="0.35">
      <c r="B33" s="208"/>
      <c r="C33" s="209"/>
      <c r="D33" s="138"/>
      <c r="L33" s="138"/>
      <c r="M33" s="181" t="s">
        <v>182</v>
      </c>
      <c r="N33" s="182"/>
      <c r="R33" s="138"/>
      <c r="X33" s="138"/>
      <c r="AE33" s="138"/>
      <c r="AI33" s="138"/>
      <c r="AO33" s="138"/>
    </row>
    <row r="34" spans="2:41" x14ac:dyDescent="0.3">
      <c r="B34" s="208"/>
      <c r="C34" s="209"/>
      <c r="D34" s="138"/>
      <c r="L34" s="138"/>
      <c r="R34" s="138"/>
      <c r="X34" s="138"/>
      <c r="AE34" s="138"/>
      <c r="AI34" s="138"/>
      <c r="AO34" s="138"/>
    </row>
    <row r="35" spans="2:41" x14ac:dyDescent="0.3">
      <c r="B35" s="208"/>
      <c r="C35" s="209"/>
      <c r="D35" s="138"/>
      <c r="L35" s="138"/>
      <c r="R35" s="138"/>
      <c r="X35" s="138"/>
      <c r="AE35" s="138"/>
      <c r="AI35" s="138"/>
      <c r="AO35" s="138"/>
    </row>
    <row r="36" spans="2:41" x14ac:dyDescent="0.3">
      <c r="B36" s="208"/>
      <c r="C36" s="209"/>
      <c r="D36" s="138"/>
      <c r="L36" s="138"/>
      <c r="R36" s="138"/>
      <c r="X36" s="138"/>
      <c r="AE36" s="138"/>
      <c r="AI36" s="138"/>
      <c r="AO36" s="138"/>
    </row>
    <row r="37" spans="2:41" x14ac:dyDescent="0.3">
      <c r="B37" s="208"/>
      <c r="C37" s="209"/>
      <c r="D37" s="138"/>
      <c r="L37" s="138"/>
      <c r="R37" s="138"/>
      <c r="X37" s="138"/>
      <c r="AE37" s="138"/>
      <c r="AI37" s="138"/>
      <c r="AO37" s="138"/>
    </row>
    <row r="38" spans="2:41" x14ac:dyDescent="0.3">
      <c r="B38" s="208"/>
      <c r="C38" s="209"/>
      <c r="D38" s="138"/>
      <c r="L38" s="138"/>
      <c r="R38" s="138"/>
      <c r="X38" s="138"/>
      <c r="AE38" s="138"/>
      <c r="AI38" s="138"/>
      <c r="AO38" s="138"/>
    </row>
    <row r="39" spans="2:41" x14ac:dyDescent="0.3">
      <c r="B39" s="210"/>
      <c r="C39" s="211"/>
      <c r="D39" s="138"/>
      <c r="L39" s="138"/>
      <c r="R39" s="138"/>
      <c r="X39" s="138"/>
      <c r="AE39" s="138"/>
      <c r="AI39" s="138"/>
      <c r="AO39" s="138"/>
    </row>
    <row r="40" spans="2:41" ht="15" thickBot="1" x14ac:dyDescent="0.35">
      <c r="B40"/>
      <c r="D40" s="138"/>
      <c r="L40" s="138"/>
      <c r="R40" s="138"/>
      <c r="X40" s="138"/>
      <c r="AE40" s="138"/>
      <c r="AI40" s="138"/>
      <c r="AO40" s="138"/>
    </row>
    <row r="41" spans="2:41" x14ac:dyDescent="0.3">
      <c r="B41"/>
      <c r="D41" s="138"/>
      <c r="L41" s="138"/>
      <c r="R41" s="138"/>
      <c r="X41" s="138"/>
      <c r="AE41" s="138"/>
      <c r="AF41" s="174" t="s">
        <v>227</v>
      </c>
      <c r="AG41" s="175"/>
      <c r="AI41" s="138"/>
      <c r="AO41" s="138"/>
    </row>
    <row r="42" spans="2:41" x14ac:dyDescent="0.3">
      <c r="B42"/>
      <c r="D42" s="138"/>
      <c r="L42" s="138"/>
      <c r="R42" s="138"/>
      <c r="X42" s="138"/>
      <c r="AE42" s="138"/>
      <c r="AF42" s="176"/>
      <c r="AG42" s="177"/>
      <c r="AI42" s="138"/>
      <c r="AO42" s="138"/>
    </row>
    <row r="43" spans="2:41" x14ac:dyDescent="0.3">
      <c r="B43"/>
      <c r="D43" s="138"/>
      <c r="L43" s="138"/>
      <c r="R43" s="138"/>
      <c r="X43" s="138"/>
      <c r="AE43" s="138"/>
      <c r="AF43" s="176"/>
      <c r="AG43" s="177"/>
      <c r="AI43" s="138"/>
      <c r="AO43" s="138"/>
    </row>
    <row r="44" spans="2:41" x14ac:dyDescent="0.3">
      <c r="D44" s="138"/>
      <c r="L44" s="138"/>
      <c r="R44" s="138"/>
      <c r="X44" s="138"/>
      <c r="AE44" s="138"/>
      <c r="AF44" s="176"/>
      <c r="AG44" s="177"/>
      <c r="AI44" s="138"/>
      <c r="AO44" s="138"/>
    </row>
    <row r="45" spans="2:41" ht="15" thickBot="1" x14ac:dyDescent="0.35">
      <c r="D45" s="138"/>
      <c r="L45" s="138"/>
      <c r="R45" s="138"/>
      <c r="X45" s="138"/>
      <c r="AE45" s="138"/>
      <c r="AF45" s="178"/>
      <c r="AG45" s="179"/>
      <c r="AI45" s="138"/>
      <c r="AO45" s="138"/>
    </row>
    <row r="46" spans="2:41" x14ac:dyDescent="0.3">
      <c r="D46" s="138"/>
      <c r="L46" s="138"/>
      <c r="R46" s="138"/>
      <c r="X46" s="138"/>
      <c r="AE46" s="138"/>
      <c r="AI46" s="138"/>
      <c r="AO46" s="138"/>
    </row>
    <row r="47" spans="2:41" x14ac:dyDescent="0.3">
      <c r="D47" s="138"/>
      <c r="L47" s="138"/>
      <c r="R47" s="138"/>
      <c r="X47" s="138"/>
      <c r="AE47" s="138"/>
      <c r="AI47" s="138"/>
      <c r="AO47" s="138"/>
    </row>
    <row r="48" spans="2:41" x14ac:dyDescent="0.3">
      <c r="D48" s="138"/>
      <c r="L48" s="138"/>
      <c r="R48" s="138"/>
      <c r="X48" s="138"/>
      <c r="AE48" s="138"/>
      <c r="AI48" s="138"/>
      <c r="AO48" s="138"/>
    </row>
    <row r="49" spans="4:41" x14ac:dyDescent="0.3">
      <c r="D49" s="138"/>
      <c r="L49" s="138"/>
      <c r="R49" s="138"/>
      <c r="X49" s="138"/>
      <c r="AE49" s="138"/>
      <c r="AI49" s="138"/>
      <c r="AO49" s="138"/>
    </row>
    <row r="50" spans="4:41" x14ac:dyDescent="0.3">
      <c r="D50" s="138"/>
      <c r="L50" s="138"/>
      <c r="R50" s="138"/>
      <c r="X50" s="138"/>
      <c r="AE50" s="138"/>
      <c r="AI50" s="138"/>
      <c r="AO50" s="138"/>
    </row>
    <row r="51" spans="4:41" x14ac:dyDescent="0.3">
      <c r="D51" s="138"/>
      <c r="L51" s="138"/>
      <c r="R51" s="138"/>
      <c r="X51" s="138"/>
      <c r="AE51" s="138"/>
      <c r="AI51" s="138"/>
      <c r="AO51" s="138"/>
    </row>
    <row r="52" spans="4:41" x14ac:dyDescent="0.3">
      <c r="D52" s="138"/>
      <c r="L52" s="138"/>
      <c r="R52" s="138"/>
      <c r="X52" s="138"/>
      <c r="AE52" s="138"/>
      <c r="AI52" s="138"/>
      <c r="AO52" s="138"/>
    </row>
    <row r="53" spans="4:41" x14ac:dyDescent="0.3">
      <c r="D53" s="138"/>
      <c r="L53" s="138"/>
      <c r="R53" s="138"/>
      <c r="X53" s="138"/>
      <c r="AE53" s="138"/>
      <c r="AI53" s="138"/>
      <c r="AO53" s="138"/>
    </row>
    <row r="54" spans="4:41" x14ac:dyDescent="0.3">
      <c r="D54" s="138"/>
      <c r="L54" s="138"/>
      <c r="R54" s="138"/>
      <c r="X54" s="138"/>
      <c r="AE54" s="138"/>
      <c r="AI54" s="138"/>
      <c r="AO54" s="138"/>
    </row>
    <row r="55" spans="4:41" x14ac:dyDescent="0.3">
      <c r="D55" s="138"/>
      <c r="L55" s="138"/>
      <c r="R55" s="138"/>
      <c r="X55" s="138"/>
      <c r="AE55" s="138"/>
      <c r="AI55" s="138"/>
      <c r="AO55" s="138"/>
    </row>
    <row r="56" spans="4:41" x14ac:dyDescent="0.3">
      <c r="D56" s="138"/>
      <c r="L56" s="138"/>
      <c r="R56" s="138"/>
      <c r="X56" s="138"/>
      <c r="AE56" s="138"/>
      <c r="AI56" s="138"/>
      <c r="AO56" s="138"/>
    </row>
    <row r="57" spans="4:41" x14ac:dyDescent="0.3">
      <c r="D57" s="138"/>
      <c r="L57" s="138"/>
      <c r="R57" s="138"/>
      <c r="X57" s="138"/>
      <c r="AE57" s="138"/>
      <c r="AI57" s="138"/>
      <c r="AO57" s="138"/>
    </row>
    <row r="58" spans="4:41" x14ac:dyDescent="0.3">
      <c r="D58" s="138"/>
      <c r="L58" s="138"/>
      <c r="R58" s="138"/>
      <c r="X58" s="138"/>
      <c r="AE58" s="138"/>
      <c r="AI58" s="138"/>
      <c r="AO58" s="138"/>
    </row>
    <row r="59" spans="4:41" x14ac:dyDescent="0.3">
      <c r="D59" s="138"/>
      <c r="L59" s="138"/>
      <c r="R59" s="138"/>
      <c r="X59" s="138"/>
      <c r="AE59" s="138"/>
      <c r="AI59" s="138"/>
      <c r="AO59" s="138"/>
    </row>
    <row r="60" spans="4:41" x14ac:dyDescent="0.3">
      <c r="D60" s="138"/>
      <c r="L60" s="138"/>
      <c r="R60" s="138"/>
      <c r="X60" s="138"/>
      <c r="AE60" s="138"/>
      <c r="AI60" s="138"/>
      <c r="AO60" s="138"/>
    </row>
    <row r="61" spans="4:41" x14ac:dyDescent="0.3">
      <c r="D61" s="138"/>
      <c r="L61" s="138"/>
      <c r="R61" s="138"/>
      <c r="X61" s="138"/>
      <c r="AE61" s="138"/>
      <c r="AI61" s="138"/>
      <c r="AO61" s="138"/>
    </row>
    <row r="62" spans="4:41" x14ac:dyDescent="0.3">
      <c r="D62" s="138"/>
      <c r="L62" s="138"/>
      <c r="R62" s="138"/>
      <c r="X62" s="138"/>
      <c r="AE62" s="138"/>
      <c r="AI62" s="138"/>
      <c r="AO62" s="138"/>
    </row>
    <row r="63" spans="4:41" x14ac:dyDescent="0.3">
      <c r="D63" s="138"/>
      <c r="L63" s="138"/>
      <c r="R63" s="138"/>
      <c r="X63" s="138"/>
      <c r="AE63" s="138"/>
      <c r="AI63" s="138"/>
      <c r="AO63" s="138"/>
    </row>
    <row r="64" spans="4:41" x14ac:dyDescent="0.3">
      <c r="D64" s="138"/>
      <c r="L64" s="138"/>
      <c r="R64" s="138"/>
      <c r="X64" s="138"/>
      <c r="AE64" s="138"/>
      <c r="AI64" s="138"/>
      <c r="AO64" s="138"/>
    </row>
    <row r="65" spans="1:41" x14ac:dyDescent="0.3">
      <c r="D65" s="138"/>
      <c r="L65" s="138"/>
      <c r="R65" s="138"/>
      <c r="X65" s="138"/>
      <c r="AE65" s="138"/>
      <c r="AI65" s="138"/>
      <c r="AO65" s="138"/>
    </row>
    <row r="66" spans="1:41" s="184" customFormat="1" x14ac:dyDescent="0.3">
      <c r="A66" s="183"/>
    </row>
    <row r="67" spans="1:41" ht="15" customHeight="1" x14ac:dyDescent="0.3">
      <c r="A67" s="185" t="s">
        <v>245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7"/>
      <c r="M67" s="212" t="s">
        <v>254</v>
      </c>
      <c r="N67" s="213"/>
      <c r="O67" s="213"/>
      <c r="P67" s="213"/>
      <c r="Q67" s="214"/>
      <c r="S67" s="212" t="s">
        <v>253</v>
      </c>
      <c r="T67" s="213"/>
      <c r="U67" s="213"/>
      <c r="V67" s="213"/>
      <c r="W67" s="214"/>
    </row>
    <row r="68" spans="1:41" ht="15" customHeight="1" x14ac:dyDescent="0.3">
      <c r="A68" s="188" t="s">
        <v>244</v>
      </c>
      <c r="B68" s="189"/>
      <c r="C68" s="189"/>
      <c r="D68" s="189"/>
      <c r="E68" s="189"/>
      <c r="F68" s="189"/>
      <c r="G68" s="189"/>
      <c r="H68" s="189"/>
      <c r="I68" s="189"/>
      <c r="J68" s="189"/>
      <c r="K68" s="190"/>
      <c r="M68" s="201" t="s">
        <v>250</v>
      </c>
      <c r="N68" s="207"/>
      <c r="O68" s="1"/>
      <c r="P68" s="201" t="s">
        <v>249</v>
      </c>
      <c r="Q68" s="207"/>
      <c r="S68" s="201" t="s">
        <v>255</v>
      </c>
      <c r="T68" s="202"/>
      <c r="V68" s="201" t="s">
        <v>257</v>
      </c>
      <c r="W68" s="207"/>
    </row>
    <row r="69" spans="1:41" ht="15" customHeight="1" x14ac:dyDescent="0.3">
      <c r="A69" s="188" t="s">
        <v>256</v>
      </c>
      <c r="B69" s="189"/>
      <c r="C69" s="189"/>
      <c r="D69" s="189"/>
      <c r="E69" s="189"/>
      <c r="F69" s="189"/>
      <c r="G69" s="189"/>
      <c r="H69" s="189"/>
      <c r="I69" s="189"/>
      <c r="J69" s="189"/>
      <c r="K69" s="190"/>
      <c r="M69" s="208"/>
      <c r="N69" s="209"/>
      <c r="O69" s="1"/>
      <c r="P69" s="208"/>
      <c r="Q69" s="209"/>
      <c r="S69" s="203"/>
      <c r="T69" s="204"/>
      <c r="V69" s="208"/>
      <c r="W69" s="209"/>
    </row>
    <row r="70" spans="1:41" ht="15" customHeight="1" x14ac:dyDescent="0.3">
      <c r="A70" s="191" t="s">
        <v>246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3"/>
      <c r="M70" s="208"/>
      <c r="N70" s="209"/>
      <c r="O70" s="1"/>
      <c r="P70" s="208"/>
      <c r="Q70" s="209"/>
      <c r="S70" s="203"/>
      <c r="T70" s="204"/>
      <c r="V70" s="208"/>
      <c r="W70" s="209"/>
    </row>
    <row r="71" spans="1:41" ht="15" customHeight="1" x14ac:dyDescent="0.3">
      <c r="A71" s="191"/>
      <c r="B71" s="192"/>
      <c r="C71" s="192"/>
      <c r="D71" s="192"/>
      <c r="E71" s="192"/>
      <c r="F71" s="192"/>
      <c r="G71" s="192"/>
      <c r="H71" s="192"/>
      <c r="I71" s="192"/>
      <c r="J71" s="192"/>
      <c r="K71" s="193"/>
      <c r="M71" s="208"/>
      <c r="N71" s="209"/>
      <c r="O71" s="1"/>
      <c r="P71" s="208"/>
      <c r="Q71" s="209"/>
      <c r="S71" s="203"/>
      <c r="T71" s="204"/>
      <c r="V71" s="208"/>
      <c r="W71" s="209"/>
    </row>
    <row r="72" spans="1:41" ht="15" customHeight="1" x14ac:dyDescent="0.3">
      <c r="A72" s="194" t="s">
        <v>247</v>
      </c>
      <c r="B72" s="195"/>
      <c r="C72" s="195"/>
      <c r="D72" s="195"/>
      <c r="E72" s="195"/>
      <c r="F72" s="195"/>
      <c r="G72" s="195"/>
      <c r="H72" s="195"/>
      <c r="I72" s="195"/>
      <c r="J72" s="195"/>
      <c r="K72" s="196"/>
      <c r="M72" s="210"/>
      <c r="N72" s="211"/>
      <c r="O72" s="1"/>
      <c r="P72" s="210"/>
      <c r="Q72" s="211"/>
      <c r="S72" s="205"/>
      <c r="T72" s="206"/>
      <c r="V72" s="210"/>
      <c r="W72" s="211"/>
    </row>
    <row r="73" spans="1:41" ht="15" customHeight="1" x14ac:dyDescent="0.3">
      <c r="A73" s="197" t="s">
        <v>248</v>
      </c>
      <c r="B73" s="198"/>
      <c r="C73" s="198"/>
      <c r="D73" s="198"/>
      <c r="E73" s="198"/>
      <c r="F73" s="198"/>
      <c r="G73" s="198"/>
      <c r="H73" s="198"/>
      <c r="I73" s="198"/>
      <c r="J73" s="198"/>
      <c r="K73" s="199"/>
      <c r="M73" s="105"/>
      <c r="N73" s="1"/>
      <c r="O73" s="1"/>
      <c r="P73" s="1"/>
      <c r="Q73" s="106"/>
    </row>
    <row r="74" spans="1:41" x14ac:dyDescent="0.3">
      <c r="M74" s="201" t="s">
        <v>251</v>
      </c>
      <c r="N74" s="202"/>
      <c r="O74" s="1"/>
      <c r="P74" s="201" t="s">
        <v>252</v>
      </c>
      <c r="Q74" s="202"/>
      <c r="S74" s="201" t="s">
        <v>258</v>
      </c>
      <c r="T74" s="202"/>
      <c r="V74" s="138"/>
      <c r="W74" s="138"/>
    </row>
    <row r="75" spans="1:41" x14ac:dyDescent="0.3">
      <c r="M75" s="203"/>
      <c r="N75" s="204"/>
      <c r="O75" s="1"/>
      <c r="P75" s="203"/>
      <c r="Q75" s="204"/>
      <c r="S75" s="203"/>
      <c r="T75" s="204"/>
      <c r="V75" s="138"/>
      <c r="W75" s="138"/>
    </row>
    <row r="76" spans="1:41" x14ac:dyDescent="0.3">
      <c r="M76" s="203"/>
      <c r="N76" s="204"/>
      <c r="O76" s="1"/>
      <c r="P76" s="203"/>
      <c r="Q76" s="204"/>
      <c r="S76" s="203"/>
      <c r="T76" s="204"/>
      <c r="V76" s="138"/>
      <c r="W76" s="138"/>
    </row>
    <row r="77" spans="1:41" x14ac:dyDescent="0.3">
      <c r="M77" s="205"/>
      <c r="N77" s="206"/>
      <c r="O77" s="107"/>
      <c r="P77" s="205"/>
      <c r="Q77" s="206"/>
      <c r="S77" s="205"/>
      <c r="T77" s="206"/>
      <c r="V77" s="138"/>
      <c r="W77" s="138"/>
    </row>
  </sheetData>
  <sortState xmlns:xlrd2="http://schemas.microsoft.com/office/spreadsheetml/2017/richdata2" ref="S4:W13">
    <sortCondition ref="W4:W13"/>
  </sortState>
  <mergeCells count="46">
    <mergeCell ref="S74:T77"/>
    <mergeCell ref="V74:W77"/>
    <mergeCell ref="E2:I2"/>
    <mergeCell ref="M74:N77"/>
    <mergeCell ref="M68:N72"/>
    <mergeCell ref="P74:Q77"/>
    <mergeCell ref="M67:Q67"/>
    <mergeCell ref="P68:Q72"/>
    <mergeCell ref="A72:K72"/>
    <mergeCell ref="A73:K73"/>
    <mergeCell ref="M2:Q2"/>
    <mergeCell ref="S2:W2"/>
    <mergeCell ref="S16:T16"/>
    <mergeCell ref="S32:T32"/>
    <mergeCell ref="E14:F14"/>
    <mergeCell ref="B2:C12"/>
    <mergeCell ref="M10:N10"/>
    <mergeCell ref="M20:N20"/>
    <mergeCell ref="M33:N33"/>
    <mergeCell ref="E30:F30"/>
    <mergeCell ref="B15:C18"/>
    <mergeCell ref="B32:C39"/>
    <mergeCell ref="S68:T72"/>
    <mergeCell ref="S67:W67"/>
    <mergeCell ref="A66:XFD66"/>
    <mergeCell ref="A67:K67"/>
    <mergeCell ref="A68:K68"/>
    <mergeCell ref="A69:K69"/>
    <mergeCell ref="A70:K71"/>
    <mergeCell ref="V68:W72"/>
    <mergeCell ref="L1:L65"/>
    <mergeCell ref="D1:D65"/>
    <mergeCell ref="AJ2:AL2"/>
    <mergeCell ref="AJ17:AK17"/>
    <mergeCell ref="AP2:AS2"/>
    <mergeCell ref="AP10:AQ10"/>
    <mergeCell ref="Y2:AD2"/>
    <mergeCell ref="Y22:AA22"/>
    <mergeCell ref="AF2:AH2"/>
    <mergeCell ref="AF17:AG17"/>
    <mergeCell ref="AF41:AG45"/>
    <mergeCell ref="AI1:AI65"/>
    <mergeCell ref="AO1:AO65"/>
    <mergeCell ref="AE1:AE65"/>
    <mergeCell ref="X1:X65"/>
    <mergeCell ref="R1:R65"/>
  </mergeCells>
  <pageMargins left="0.7" right="0.7" top="0.75" bottom="0.75" header="0.3" footer="0.3"/>
  <pageSetup orientation="portrait" horizontalDpi="0" verticalDpi="0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2BCC-1AF3-4A00-BFC1-784272EB612C}">
  <dimension ref="B2:D6"/>
  <sheetViews>
    <sheetView workbookViewId="0">
      <selection activeCell="C12" sqref="C12"/>
    </sheetView>
  </sheetViews>
  <sheetFormatPr defaultRowHeight="14.4" x14ac:dyDescent="0.3"/>
  <cols>
    <col min="2" max="2" width="44.6640625" bestFit="1" customWidth="1"/>
    <col min="3" max="3" width="25.88671875" customWidth="1"/>
    <col min="4" max="4" width="13.109375" bestFit="1" customWidth="1"/>
  </cols>
  <sheetData>
    <row r="2" spans="2:4" x14ac:dyDescent="0.3">
      <c r="C2" s="40" t="s">
        <v>103</v>
      </c>
      <c r="D2" s="41" t="s">
        <v>104</v>
      </c>
    </row>
    <row r="3" spans="2:4" x14ac:dyDescent="0.3">
      <c r="B3" t="s">
        <v>102</v>
      </c>
      <c r="C3" s="39" t="s">
        <v>106</v>
      </c>
      <c r="D3" t="s">
        <v>105</v>
      </c>
    </row>
    <row r="6" spans="2:4" x14ac:dyDescent="0.3">
      <c r="C6" s="91"/>
      <c r="D6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Date Functions</vt:lpstr>
      <vt:lpstr>Math</vt:lpstr>
      <vt:lpstr>LOOKUP Functions</vt:lpstr>
      <vt:lpstr>Text&amp;Logical Functions</vt:lpstr>
      <vt:lpstr>Basic Operations</vt:lpstr>
      <vt:lpstr>Pivot Table</vt:lpstr>
      <vt:lpstr>Visualization</vt:lpstr>
      <vt:lpstr>Q&amp;A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 Luo</cp:lastModifiedBy>
  <cp:revision/>
  <dcterms:created xsi:type="dcterms:W3CDTF">2015-06-05T18:17:20Z</dcterms:created>
  <dcterms:modified xsi:type="dcterms:W3CDTF">2025-12-26T19:35:41Z</dcterms:modified>
  <cp:category/>
  <cp:contentStatus/>
</cp:coreProperties>
</file>